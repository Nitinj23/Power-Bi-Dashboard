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.shell.com/personal/michelle_bentley_shell_com/Documents/Documents/"/>
    </mc:Choice>
  </mc:AlternateContent>
  <xr:revisionPtr revIDLastSave="35" documentId="8_{0BE522E7-AF5B-48D4-A112-AD4353D8E6EA}" xr6:coauthVersionLast="47" xr6:coauthVersionMax="47" xr10:uidLastSave="{F1AF7463-77FF-45EC-86A5-3E3CA43305A5}"/>
  <bookViews>
    <workbookView xWindow="-120" yWindow="-120" windowWidth="29040" windowHeight="15720" xr2:uid="{00000000-000D-0000-FFFF-FFFF00000000}"/>
  </bookViews>
  <sheets>
    <sheet name="Monthly Tracked Metrics" sheetId="1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4" i="15" l="1"/>
  <c r="M35" i="15" l="1"/>
  <c r="L35" i="15"/>
  <c r="K35" i="15" l="1"/>
  <c r="J47" i="15"/>
  <c r="J35" i="15" l="1"/>
  <c r="G35" i="15" l="1"/>
  <c r="F35" i="15"/>
  <c r="E35" i="15" l="1"/>
  <c r="I35" i="15"/>
  <c r="H35" i="15"/>
  <c r="R57" i="15" l="1"/>
  <c r="R45" i="15"/>
  <c r="R44" i="15"/>
  <c r="R41" i="15"/>
  <c r="R42" i="15"/>
  <c r="R40" i="15"/>
  <c r="R38" i="15"/>
  <c r="R36" i="15"/>
  <c r="R33" i="15"/>
  <c r="R34" i="15"/>
  <c r="R32" i="15"/>
  <c r="F52" i="15"/>
  <c r="G52" i="15"/>
  <c r="H52" i="15"/>
  <c r="I52" i="15"/>
  <c r="J52" i="15"/>
  <c r="K52" i="15"/>
  <c r="L52" i="15"/>
  <c r="M52" i="15"/>
  <c r="N52" i="15"/>
  <c r="O52" i="15"/>
  <c r="P52" i="15"/>
  <c r="E52" i="15"/>
  <c r="F51" i="15"/>
  <c r="G51" i="15"/>
  <c r="H51" i="15"/>
  <c r="I51" i="15"/>
  <c r="J51" i="15"/>
  <c r="K51" i="15"/>
  <c r="L51" i="15"/>
  <c r="M51" i="15"/>
  <c r="N51" i="15"/>
  <c r="O51" i="15"/>
  <c r="P51" i="15"/>
  <c r="E51" i="15"/>
  <c r="F50" i="15"/>
  <c r="G50" i="15"/>
  <c r="H50" i="15"/>
  <c r="I50" i="15"/>
  <c r="J50" i="15"/>
  <c r="K50" i="15"/>
  <c r="L50" i="15"/>
  <c r="M50" i="15"/>
  <c r="N50" i="15"/>
  <c r="O50" i="15"/>
  <c r="P50" i="15"/>
  <c r="E50" i="15"/>
  <c r="F49" i="15"/>
  <c r="G49" i="15"/>
  <c r="H49" i="15"/>
  <c r="I49" i="15"/>
  <c r="J49" i="15"/>
  <c r="K49" i="15"/>
  <c r="L49" i="15"/>
  <c r="M49" i="15"/>
  <c r="N49" i="15"/>
  <c r="O49" i="15"/>
  <c r="P49" i="15"/>
  <c r="E49" i="15"/>
  <c r="F48" i="15"/>
  <c r="G48" i="15"/>
  <c r="H48" i="15"/>
  <c r="I48" i="15"/>
  <c r="J48" i="15"/>
  <c r="K48" i="15"/>
  <c r="L48" i="15"/>
  <c r="M48" i="15"/>
  <c r="N48" i="15"/>
  <c r="O48" i="15"/>
  <c r="P48" i="15"/>
  <c r="E48" i="15"/>
  <c r="F47" i="15"/>
  <c r="G47" i="15"/>
  <c r="H47" i="15"/>
  <c r="I47" i="15"/>
  <c r="K47" i="15"/>
  <c r="L47" i="15"/>
  <c r="M47" i="15"/>
  <c r="N47" i="15"/>
  <c r="O47" i="15"/>
  <c r="P47" i="15"/>
  <c r="E47" i="15"/>
  <c r="R29" i="15"/>
  <c r="F53" i="15"/>
  <c r="G53" i="15"/>
  <c r="H53" i="15"/>
  <c r="I53" i="15"/>
  <c r="J53" i="15"/>
  <c r="K53" i="15"/>
  <c r="L53" i="15"/>
  <c r="M53" i="15"/>
  <c r="N53" i="15"/>
  <c r="O53" i="15"/>
  <c r="P53" i="15"/>
  <c r="R18" i="15"/>
  <c r="R20" i="15"/>
  <c r="R21" i="15"/>
  <c r="R22" i="15"/>
  <c r="R23" i="15"/>
  <c r="R24" i="15"/>
  <c r="R25" i="15"/>
  <c r="R26" i="15"/>
  <c r="R27" i="15"/>
  <c r="R28" i="15"/>
  <c r="R17" i="15"/>
  <c r="R5" i="15"/>
  <c r="R6" i="15"/>
  <c r="R7" i="15"/>
  <c r="R8" i="15"/>
  <c r="R9" i="15"/>
  <c r="R10" i="15"/>
  <c r="R11" i="15"/>
  <c r="R12" i="15"/>
  <c r="R13" i="15"/>
  <c r="R4" i="15"/>
  <c r="E53" i="15"/>
  <c r="R82" i="15"/>
  <c r="R81" i="15"/>
  <c r="R79" i="15"/>
  <c r="R78" i="15"/>
  <c r="R76" i="15"/>
  <c r="R75" i="15"/>
  <c r="R73" i="15"/>
  <c r="R72" i="15"/>
  <c r="R70" i="15"/>
  <c r="R69" i="15"/>
  <c r="R65" i="15"/>
  <c r="R63" i="15"/>
  <c r="R62" i="15"/>
  <c r="R61" i="15"/>
  <c r="R60" i="15"/>
  <c r="R59" i="15"/>
  <c r="R58" i="15"/>
  <c r="R54" i="15"/>
  <c r="R30" i="15" l="1"/>
</calcChain>
</file>

<file path=xl/sharedStrings.xml><?xml version="1.0" encoding="utf-8"?>
<sst xmlns="http://schemas.openxmlformats.org/spreadsheetml/2006/main" count="136" uniqueCount="96">
  <si>
    <t xml:space="preserve">Targets </t>
  </si>
  <si>
    <t>Frequency</t>
  </si>
  <si>
    <t>Actuals</t>
  </si>
  <si>
    <r>
      <t>1.</t>
    </r>
    <r>
      <rPr>
        <b/>
        <sz val="7"/>
        <rFont val="Times New Roman"/>
        <family val="1"/>
      </rPr>
      <t xml:space="preserve">        </t>
    </r>
    <r>
      <rPr>
        <b/>
        <sz val="10"/>
        <rFont val="Garamond"/>
        <family val="1"/>
      </rPr>
      <t>Health, Safety, Security and Environment</t>
    </r>
  </si>
  <si>
    <r>
      <t>a.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>First Aids</t>
    </r>
  </si>
  <si>
    <t>per Year</t>
  </si>
  <si>
    <r>
      <t>b.</t>
    </r>
    <r>
      <rPr>
        <sz val="7"/>
        <rFont val="Times New Roman"/>
        <family val="1"/>
      </rPr>
      <t xml:space="preserve">       </t>
    </r>
    <r>
      <rPr>
        <sz val="10"/>
        <rFont val="Garamond"/>
        <family val="1"/>
      </rPr>
      <t>Medical Treatment</t>
    </r>
  </si>
  <si>
    <r>
      <t>c.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 xml:space="preserve">Lost Work Day Cases </t>
    </r>
  </si>
  <si>
    <r>
      <t>d.</t>
    </r>
    <r>
      <rPr>
        <sz val="7"/>
        <rFont val="Times New Roman"/>
        <family val="1"/>
      </rPr>
      <t xml:space="preserve">       </t>
    </r>
    <r>
      <rPr>
        <sz val="10"/>
        <rFont val="Garamond"/>
        <family val="1"/>
      </rPr>
      <t>Near Misses</t>
    </r>
  </si>
  <si>
    <r>
      <t>e.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>Recordable Incidents</t>
    </r>
  </si>
  <si>
    <t>per Quarter</t>
  </si>
  <si>
    <t>per Month</t>
  </si>
  <si>
    <r>
      <t>2.</t>
    </r>
    <r>
      <rPr>
        <b/>
        <sz val="7"/>
        <rFont val="Times New Roman"/>
        <family val="1"/>
      </rPr>
      <t xml:space="preserve">        </t>
    </r>
    <r>
      <rPr>
        <b/>
        <sz val="10"/>
        <rFont val="Garamond"/>
        <family val="1"/>
      </rPr>
      <t>Performance</t>
    </r>
  </si>
  <si>
    <t>1:8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</si>
  <si>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</si>
  <si>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</si>
  <si>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</si>
  <si>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</si>
  <si>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</si>
  <si>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</si>
  <si>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</si>
  <si>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</si>
  <si>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</si>
  <si>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</si>
  <si>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</si>
  <si>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</si>
  <si>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2.1: Exposure Hours</t>
  </si>
  <si>
    <r>
      <t>b.</t>
    </r>
    <r>
      <rPr>
        <sz val="7"/>
        <rFont val="Times New Roman"/>
        <family val="1"/>
      </rPr>
      <t>      </t>
    </r>
    <r>
      <rPr>
        <sz val="10"/>
        <rFont val="Garamond"/>
        <family val="1"/>
      </rPr>
      <t xml:space="preserve"> Standard Time vs Overtime &amp; Double-time Working Hours (Ratio) </t>
    </r>
  </si>
  <si>
    <t xml:space="preserve">           Apprentice Hours</t>
  </si>
  <si>
    <r>
      <t>c.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>Apprentice Ratio</t>
    </r>
  </si>
  <si>
    <t>per Collective</t>
  </si>
  <si>
    <t>2.3 Apprentice Exposure</t>
  </si>
  <si>
    <t>2.2 Type of Hours</t>
  </si>
  <si>
    <t xml:space="preserve">           Standard Time</t>
  </si>
  <si>
    <t xml:space="preserve">           Double Time</t>
  </si>
  <si>
    <t xml:space="preserve">           OverTime</t>
  </si>
  <si>
    <t xml:space="preserve">           Period Average On-Site Vehicle # (Trucks &amp; Vans)</t>
  </si>
  <si>
    <t xml:space="preserve">           Vehicle Hours Billed</t>
  </si>
  <si>
    <t>d.     On-Site Vehicle Usage (# of Vehicles vs. period Headcount as a Ratio):</t>
  </si>
  <si>
    <r>
      <t>e.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>Call-Out Hours</t>
    </r>
  </si>
  <si>
    <t xml:space="preserve">         On-Site Vehicle Usage (Vehicles hrs Billed/ Exposure Hours)</t>
  </si>
  <si>
    <t>Year Total</t>
  </si>
  <si>
    <t>Key Performance Indicators</t>
  </si>
  <si>
    <t xml:space="preserve">     Turnaround</t>
  </si>
  <si>
    <t xml:space="preserve">              Earned Hours</t>
  </si>
  <si>
    <t xml:space="preserve">     Projects</t>
  </si>
  <si>
    <t xml:space="preserve">     Major Maintence</t>
  </si>
  <si>
    <t xml:space="preserve">     Maintenance</t>
  </si>
  <si>
    <t xml:space="preserve">     Cumulative</t>
  </si>
  <si>
    <t>g.     Management (Off-Site) Field Audits</t>
  </si>
  <si>
    <r>
      <t>3.</t>
    </r>
    <r>
      <rPr>
        <b/>
        <sz val="7"/>
        <rFont val="Times New Roman"/>
        <family val="1"/>
      </rPr>
      <t xml:space="preserve">        </t>
    </r>
    <r>
      <rPr>
        <b/>
        <sz val="10"/>
        <rFont val="Garamond"/>
        <family val="1"/>
      </rPr>
      <t>Quality / Misc</t>
    </r>
  </si>
  <si>
    <t>a.   Butt Welds</t>
  </si>
  <si>
    <t>b.   Socket Welds</t>
  </si>
  <si>
    <t>c.   Total Welds</t>
  </si>
  <si>
    <t>e.   MT/PT Done</t>
  </si>
  <si>
    <t>f.   Rework/Weld Failure Rate</t>
  </si>
  <si>
    <t xml:space="preserve">g.   Contractor Non-Conformances </t>
  </si>
  <si>
    <r>
      <t>4.</t>
    </r>
    <r>
      <rPr>
        <b/>
        <sz val="7"/>
        <rFont val="Times New Roman"/>
        <family val="1"/>
      </rPr>
      <t xml:space="preserve">        </t>
    </r>
    <r>
      <rPr>
        <b/>
        <sz val="10"/>
        <rFont val="Garamond"/>
        <family val="1"/>
      </rPr>
      <t>Cost</t>
    </r>
  </si>
  <si>
    <t xml:space="preserve">              Spend</t>
  </si>
  <si>
    <t xml:space="preserve"> </t>
  </si>
  <si>
    <t>d.   # of Welds X-Rayed</t>
  </si>
  <si>
    <t>h.     Safety Observation Reports</t>
  </si>
  <si>
    <t>i.      Training Compliance</t>
  </si>
  <si>
    <t xml:space="preserve">           Head Count - Workforce Average</t>
  </si>
  <si>
    <t xml:space="preserve">           Head Count - Site Indirects - Billable</t>
  </si>
  <si>
    <t># people</t>
  </si>
  <si>
    <t xml:space="preserve">           Site Indirects - Hrs</t>
  </si>
  <si>
    <t># Hours</t>
  </si>
  <si>
    <t xml:space="preserve">           Boilermaker DFL - Hrs</t>
  </si>
  <si>
    <t xml:space="preserve">           Boilermaker FM or above - Hrs</t>
  </si>
  <si>
    <t xml:space="preserve">           Boilermaker FM or above - Hrs Planning</t>
  </si>
  <si>
    <t xml:space="preserve">           Pipefitters DFL - Hrs</t>
  </si>
  <si>
    <t xml:space="preserve">           Pipefitters FM or above - Hrs Planning</t>
  </si>
  <si>
    <t xml:space="preserve">           Total - Hrs</t>
  </si>
  <si>
    <t xml:space="preserve">           Labourers DFL - Hrs</t>
  </si>
  <si>
    <t xml:space="preserve">           Labourers FM or above - Hrs</t>
  </si>
  <si>
    <t>2.4 Traveller Exposure</t>
  </si>
  <si>
    <t xml:space="preserve">           Travellers Headcount</t>
  </si>
  <si>
    <t>2.5 Cost</t>
  </si>
  <si>
    <t xml:space="preserve">           Labour Spend</t>
  </si>
  <si>
    <t xml:space="preserve">           Equipment Spend</t>
  </si>
  <si>
    <t xml:space="preserve">           3rd Party Spend</t>
  </si>
  <si>
    <r>
      <t>a.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 xml:space="preserve">Boilermakers - Crew Mix - FM vs. Base Crew (Ratio) </t>
    </r>
  </si>
  <si>
    <t>1:3ppl.</t>
  </si>
  <si>
    <t>100 hrs</t>
  </si>
  <si>
    <r>
      <t>f.</t>
    </r>
    <r>
      <rPr>
        <sz val="7"/>
        <rFont val="Times New Roman"/>
        <family val="1"/>
      </rPr>
      <t xml:space="preserve">        </t>
    </r>
    <r>
      <rPr>
        <sz val="10"/>
        <rFont val="Garamond"/>
        <family val="1"/>
      </rPr>
      <t>% of Rework</t>
    </r>
  </si>
  <si>
    <r>
      <rPr>
        <sz val="7"/>
        <rFont val="Times New Roman"/>
        <family val="1"/>
      </rPr>
      <t xml:space="preserve">              </t>
    </r>
    <r>
      <rPr>
        <sz val="10"/>
        <rFont val="Garamond"/>
        <family val="1"/>
      </rPr>
      <t xml:space="preserve">Pipefitters - Crew Mix - FM vs. Base Crew (Ratio) </t>
    </r>
  </si>
  <si>
    <r>
      <rPr>
        <sz val="7"/>
        <rFont val="Times New Roman"/>
        <family val="1"/>
      </rPr>
      <t xml:space="preserve">              </t>
    </r>
    <r>
      <rPr>
        <sz val="10"/>
        <rFont val="Garamond"/>
        <family val="1"/>
      </rPr>
      <t xml:space="preserve">Labourers - Crew Mix - FM vs. Base Crew (Ratio) </t>
    </r>
  </si>
  <si>
    <t xml:space="preserve">           Labourers FM or above - Hrs Planning</t>
  </si>
  <si>
    <t>2.6 Vehicles</t>
  </si>
  <si>
    <t xml:space="preserve">           Pipefitters FM or above Hrs</t>
  </si>
  <si>
    <t>h.   Welds off site</t>
  </si>
  <si>
    <t>i.   NCR Contractor</t>
  </si>
  <si>
    <t>Spend by Department</t>
  </si>
  <si>
    <r>
      <t>f.</t>
    </r>
    <r>
      <rPr>
        <sz val="7"/>
        <rFont val="Times New Roman"/>
        <family val="1"/>
      </rPr>
      <t xml:space="preserve">        </t>
    </r>
    <r>
      <rPr>
        <sz val="10"/>
        <rFont val="Garamond"/>
        <family val="1"/>
      </rPr>
      <t>Total Recordable Incident Frequency (TRIF) - Shell Sarnia Wolverine</t>
    </r>
  </si>
  <si>
    <r>
      <rPr>
        <sz val="7"/>
        <rFont val="Times New Roman"/>
        <family val="1"/>
      </rPr>
      <t xml:space="preserve">           </t>
    </r>
    <r>
      <rPr>
        <sz val="10"/>
        <rFont val="Garamond"/>
        <family val="1"/>
      </rPr>
      <t>Total Recordable Incident Frequency (TRIF) - Corporate Wolverine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</si>
</sst>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_-&quot;$&quot;* #,##0_-;\-&quot;$&quot;* #,##0_-;_-&quot;$&quot;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_(* #,##0_);_(* \(#,##0\);_(* &quot;-&quot;??_);_(@_)"/>
    <numFmt numFmtId="169" formatCode="_-* #,##0_-;\-* #,##0_-;_-* &quot;-&quot;??_-;_-@_-"/>
    <numFmt numFmtId="170" formatCode="_-&quot;$&quot;* #,##0_-;\-&quot;$&quot;* #,##0_-;_-&quot;$&quot;* &quot;-&quot;??_-;_-@_-"/>
    <numFmt numFmtId="171" formatCode="#,##0.0"/>
    <numFmt numFmtId="172" formatCode="&quot;$&quot;#,##0.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Garamond"/>
      <family val="1"/>
    </font>
    <font>
      <b/>
      <sz val="7"/>
      <name val="Times New Roman"/>
      <family val="1"/>
    </font>
    <font>
      <sz val="10"/>
      <name val="Garamond"/>
      <family val="1"/>
    </font>
    <font>
      <sz val="7"/>
      <name val="Times New Roman"/>
      <family val="1"/>
    </font>
    <font>
      <sz val="10"/>
      <color theme="1"/>
      <name val="Garamond"/>
      <family val="1"/>
    </font>
    <font>
      <b/>
      <sz val="10"/>
      <color theme="1"/>
      <name val="Calibri"/>
      <family val="2"/>
      <scheme val="minor"/>
    </font>
    <font>
      <sz val="10"/>
      <color indexed="16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69">
    <xf numFmtId="0" fontId="0" fillId="0" borderId="0"/>
    <xf numFmtId="9" fontId="14" fillId="0" borderId="0" applyFont="0" applyFill="0" applyBorder="0" applyAlignment="0" applyProtection="0"/>
    <xf numFmtId="0" fontId="15" fillId="0" borderId="0"/>
    <xf numFmtId="0" fontId="13" fillId="0" borderId="0"/>
    <xf numFmtId="43" fontId="17" fillId="0" borderId="0" applyFont="0" applyFill="0" applyBorder="0" applyAlignment="0" applyProtection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4" fillId="0" borderId="0"/>
    <xf numFmtId="0" fontId="12" fillId="0" borderId="0"/>
    <xf numFmtId="0" fontId="12" fillId="0" borderId="0"/>
    <xf numFmtId="0" fontId="14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43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8" fillId="0" borderId="0"/>
    <xf numFmtId="0" fontId="8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7" fillId="0" borderId="0"/>
    <xf numFmtId="0" fontId="7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6" fillId="0" borderId="0"/>
    <xf numFmtId="0" fontId="6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5" fillId="0" borderId="0"/>
    <xf numFmtId="0" fontId="5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4" fillId="0" borderId="0"/>
    <xf numFmtId="0" fontId="4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3" fillId="0" borderId="0"/>
    <xf numFmtId="0" fontId="3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5" fontId="25" fillId="0" borderId="0" applyFont="0" applyFill="0" applyBorder="0" applyAlignment="0" applyProtection="0"/>
    <xf numFmtId="0" fontId="2" fillId="0" borderId="0"/>
    <xf numFmtId="165" fontId="14" fillId="0" borderId="0" applyFont="0" applyFill="0" applyBorder="0" applyAlignment="0" applyProtection="0"/>
    <xf numFmtId="0" fontId="1" fillId="0" borderId="0"/>
    <xf numFmtId="166" fontId="14" fillId="0" borderId="0" applyFont="0" applyFill="0" applyBorder="0" applyAlignment="0" applyProtection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167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4" fillId="0" borderId="0" applyFont="0" applyFill="0" applyBorder="0" applyAlignment="0" applyProtection="0"/>
    <xf numFmtId="0" fontId="1" fillId="0" borderId="0"/>
    <xf numFmtId="165" fontId="14" fillId="0" borderId="0" applyFont="0" applyFill="0" applyBorder="0" applyAlignment="0" applyProtection="0"/>
  </cellStyleXfs>
  <cellXfs count="53">
    <xf numFmtId="0" fontId="0" fillId="0" borderId="0" xfId="0"/>
    <xf numFmtId="0" fontId="14" fillId="0" borderId="0" xfId="14"/>
    <xf numFmtId="0" fontId="20" fillId="0" borderId="0" xfId="14" applyFont="1" applyAlignment="1">
      <alignment horizontal="left" vertical="center" indent="8"/>
    </xf>
    <xf numFmtId="0" fontId="18" fillId="3" borderId="0" xfId="14" applyFont="1" applyFill="1" applyAlignment="1">
      <alignment horizontal="left" vertical="center" indent="4"/>
    </xf>
    <xf numFmtId="0" fontId="12" fillId="3" borderId="0" xfId="27" applyFill="1"/>
    <xf numFmtId="0" fontId="18" fillId="3" borderId="0" xfId="14" applyFont="1" applyFill="1" applyAlignment="1">
      <alignment horizontal="center" vertical="center"/>
    </xf>
    <xf numFmtId="0" fontId="12" fillId="3" borderId="0" xfId="27" applyFill="1" applyAlignment="1">
      <alignment horizontal="center"/>
    </xf>
    <xf numFmtId="0" fontId="22" fillId="0" borderId="0" xfId="27" applyFont="1" applyAlignment="1">
      <alignment horizontal="center" vertical="center"/>
    </xf>
    <xf numFmtId="0" fontId="22" fillId="0" borderId="0" xfId="27" applyFont="1"/>
    <xf numFmtId="0" fontId="22" fillId="0" borderId="0" xfId="27" applyFont="1" applyAlignment="1">
      <alignment horizontal="center"/>
    </xf>
    <xf numFmtId="20" fontId="22" fillId="0" borderId="0" xfId="27" applyNumberFormat="1" applyFont="1" applyAlignment="1">
      <alignment horizontal="center" vertical="center"/>
    </xf>
    <xf numFmtId="0" fontId="23" fillId="0" borderId="0" xfId="27" applyFont="1"/>
    <xf numFmtId="0" fontId="23" fillId="0" borderId="0" xfId="27" applyFont="1" applyAlignment="1">
      <alignment horizontal="center"/>
    </xf>
    <xf numFmtId="0" fontId="22" fillId="4" borderId="0" xfId="27" applyFont="1" applyFill="1"/>
    <xf numFmtId="0" fontId="0" fillId="5" borderId="1" xfId="0" applyFill="1" applyBorder="1"/>
    <xf numFmtId="0" fontId="22" fillId="4" borderId="0" xfId="27" applyFont="1" applyFill="1" applyAlignment="1">
      <alignment horizontal="center" vertical="center"/>
    </xf>
    <xf numFmtId="0" fontId="20" fillId="4" borderId="0" xfId="14" applyFont="1" applyFill="1" applyAlignment="1">
      <alignment horizontal="left" vertical="center" indent="8"/>
    </xf>
    <xf numFmtId="0" fontId="0" fillId="4" borderId="0" xfId="0" applyFill="1"/>
    <xf numFmtId="9" fontId="22" fillId="0" borderId="0" xfId="27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168" fontId="0" fillId="0" borderId="0" xfId="0" applyNumberFormat="1"/>
    <xf numFmtId="0" fontId="14" fillId="0" borderId="0" xfId="1" applyNumberFormat="1" applyFont="1" applyFill="1"/>
    <xf numFmtId="0" fontId="14" fillId="0" borderId="0" xfId="0" applyFont="1"/>
    <xf numFmtId="0" fontId="14" fillId="5" borderId="1" xfId="0" applyFont="1" applyFill="1" applyBorder="1"/>
    <xf numFmtId="0" fontId="14" fillId="0" borderId="0" xfId="14" applyAlignment="1">
      <alignment horizontal="center"/>
    </xf>
    <xf numFmtId="171" fontId="0" fillId="5" borderId="1" xfId="0" applyNumberFormat="1" applyFill="1" applyBorder="1"/>
    <xf numFmtId="4" fontId="0" fillId="5" borderId="1" xfId="0" applyNumberFormat="1" applyFill="1" applyBorder="1"/>
    <xf numFmtId="0" fontId="14" fillId="5" borderId="1" xfId="14" applyFill="1" applyBorder="1"/>
    <xf numFmtId="165" fontId="14" fillId="5" borderId="1" xfId="936" applyFont="1" applyFill="1" applyBorder="1"/>
    <xf numFmtId="0" fontId="0" fillId="5" borderId="1" xfId="0" applyFill="1" applyBorder="1" applyAlignment="1">
      <alignment horizontal="right"/>
    </xf>
    <xf numFmtId="0" fontId="0" fillId="0" borderId="0" xfId="0" applyAlignment="1">
      <alignment horizontal="center"/>
    </xf>
    <xf numFmtId="168" fontId="0" fillId="0" borderId="1" xfId="4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8" fontId="0" fillId="2" borderId="1" xfId="4" applyNumberFormat="1" applyFont="1" applyFill="1" applyBorder="1" applyAlignment="1">
      <alignment horizontal="center"/>
    </xf>
    <xf numFmtId="168" fontId="0" fillId="4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9" fontId="0" fillId="0" borderId="1" xfId="1" applyFont="1" applyBorder="1" applyAlignment="1">
      <alignment horizontal="center"/>
    </xf>
    <xf numFmtId="43" fontId="0" fillId="0" borderId="1" xfId="4" applyFont="1" applyBorder="1" applyAlignment="1">
      <alignment horizontal="center"/>
    </xf>
    <xf numFmtId="43" fontId="14" fillId="0" borderId="0" xfId="4" applyFont="1" applyFill="1" applyBorder="1" applyAlignment="1">
      <alignment horizontal="center"/>
    </xf>
    <xf numFmtId="169" fontId="24" fillId="2" borderId="1" xfId="11" applyNumberFormat="1" applyFont="1" applyFill="1" applyBorder="1" applyAlignment="1">
      <alignment horizontal="center"/>
    </xf>
    <xf numFmtId="170" fontId="24" fillId="2" borderId="1" xfId="12" applyNumberFormat="1" applyFont="1" applyFill="1" applyBorder="1" applyAlignment="1">
      <alignment horizontal="center"/>
    </xf>
    <xf numFmtId="171" fontId="0" fillId="4" borderId="0" xfId="0" applyNumberFormat="1" applyFill="1"/>
    <xf numFmtId="0" fontId="0" fillId="3" borderId="1" xfId="0" applyFill="1" applyBorder="1"/>
    <xf numFmtId="0" fontId="0" fillId="5" borderId="2" xfId="0" applyFill="1" applyBorder="1"/>
    <xf numFmtId="172" fontId="0" fillId="5" borderId="1" xfId="0" applyNumberFormat="1" applyFill="1" applyBorder="1"/>
    <xf numFmtId="1" fontId="14" fillId="5" borderId="1" xfId="14" applyNumberFormat="1" applyFill="1" applyBorder="1" applyAlignment="1">
      <alignment horizontal="center"/>
    </xf>
    <xf numFmtId="172" fontId="14" fillId="5" borderId="1" xfId="14" applyNumberFormat="1" applyFill="1" applyBorder="1"/>
    <xf numFmtId="164" fontId="14" fillId="5" borderId="1" xfId="938" applyNumberFormat="1" applyFont="1" applyFill="1" applyBorder="1"/>
    <xf numFmtId="165" fontId="14" fillId="5" borderId="1" xfId="938" applyFont="1" applyFill="1" applyBorder="1"/>
    <xf numFmtId="164" fontId="14" fillId="5" borderId="1" xfId="0" applyNumberFormat="1" applyFont="1" applyFill="1" applyBorder="1"/>
    <xf numFmtId="0" fontId="16" fillId="0" borderId="0" xfId="0" applyFont="1" applyAlignment="1">
      <alignment horizontal="center" wrapText="1"/>
    </xf>
    <xf numFmtId="9" fontId="0" fillId="6" borderId="1" xfId="1" applyFont="1" applyFill="1" applyBorder="1"/>
    <xf numFmtId="43" fontId="0" fillId="6" borderId="1" xfId="4" applyFont="1" applyFill="1" applyBorder="1"/>
  </cellXfs>
  <cellStyles count="1869">
    <cellStyle name="Comma" xfId="4" builtinId="3"/>
    <cellStyle name="Comma 2" xfId="11" xr:uid="{00000000-0005-0000-0000-000001000000}"/>
    <cellStyle name="Comma 2 2" xfId="147" xr:uid="{30EDD014-CCBA-418D-8FEB-D9B5BD003405}"/>
    <cellStyle name="Comma 2 2 2" xfId="1077" xr:uid="{4AB7C696-8441-4C47-ACAA-876B21415A33}"/>
    <cellStyle name="Comma 2 3" xfId="281" xr:uid="{093705CF-71B6-4C5C-9DA3-0FF8529F15EF}"/>
    <cellStyle name="Comma 2 3 2" xfId="1211" xr:uid="{802CB5D1-C7CB-4029-8038-48C2DA4E4664}"/>
    <cellStyle name="Comma 2 4" xfId="413" xr:uid="{AB3BA807-9975-480B-9F2D-BD22F612938A}"/>
    <cellStyle name="Comma 2 4 2" xfId="1343" xr:uid="{B2592024-9494-4688-AD7A-98123DC2B151}"/>
    <cellStyle name="Comma 2 5" xfId="545" xr:uid="{3FD681B7-3C29-4993-9935-88243996B7B8}"/>
    <cellStyle name="Comma 2 5 2" xfId="1475" xr:uid="{1D4FA488-1BF5-48FE-93E3-66C777CD3EC9}"/>
    <cellStyle name="Comma 2 6" xfId="677" xr:uid="{00E2AA98-2E39-4A1B-A3DE-A5303547E08D}"/>
    <cellStyle name="Comma 2 6 2" xfId="1607" xr:uid="{9E97D5E6-1AD9-4785-9A67-BE26FA27CB79}"/>
    <cellStyle name="Comma 2 7" xfId="809" xr:uid="{7B5C2745-BC05-4DD2-B35D-3EC88D7AAC8A}"/>
    <cellStyle name="Comma 2 7 2" xfId="1739" xr:uid="{8D6D5991-425E-48B3-92FB-BA06DB208679}"/>
    <cellStyle name="Comma 2 8" xfId="945" xr:uid="{7123EAD8-1F61-4511-A6CC-199866F80B71}"/>
    <cellStyle name="Comma 3" xfId="5" xr:uid="{00000000-0005-0000-0000-000002000000}"/>
    <cellStyle name="Comma 3 2" xfId="143" xr:uid="{AB0F3272-45F0-4BEC-8793-0A03AAD642E3}"/>
    <cellStyle name="Comma 3 2 2" xfId="1073" xr:uid="{A0F77A59-8705-423A-94A1-5BC94C7A385D}"/>
    <cellStyle name="Comma 3 3" xfId="277" xr:uid="{45103D3A-CE71-4B0A-A9FD-9DBA90FA3256}"/>
    <cellStyle name="Comma 3 3 2" xfId="1207" xr:uid="{23D20985-82DD-4F65-A3F4-970FA4E1EFF0}"/>
    <cellStyle name="Comma 3 4" xfId="409" xr:uid="{5A5EF08F-CC60-49E8-85C2-1D16FCC13788}"/>
    <cellStyle name="Comma 3 4 2" xfId="1339" xr:uid="{317540A7-7B69-4BB7-BEFF-EDF691056B2D}"/>
    <cellStyle name="Comma 3 5" xfId="541" xr:uid="{6E52D039-EBAC-45CA-8444-C2E875A3A193}"/>
    <cellStyle name="Comma 3 5 2" xfId="1471" xr:uid="{975F68EB-27D7-4905-82D8-7A76AE8CD47B}"/>
    <cellStyle name="Comma 3 6" xfId="673" xr:uid="{DE612EB9-2217-4B7B-90F0-E46CF2E6C1C5}"/>
    <cellStyle name="Comma 3 6 2" xfId="1603" xr:uid="{D4BCE7F0-E446-409B-A089-7404F018D394}"/>
    <cellStyle name="Comma 3 7" xfId="805" xr:uid="{A73C9EBF-74AE-4C62-A380-5C6431615EE2}"/>
    <cellStyle name="Comma 3 7 2" xfId="1735" xr:uid="{F675F972-4723-46F9-A04F-E8D89FE42832}"/>
    <cellStyle name="Comma 3 8" xfId="941" xr:uid="{13623F8C-780C-4009-833C-234145CA4FD5}"/>
    <cellStyle name="Comma 4" xfId="29" xr:uid="{00000000-0005-0000-0000-000003000000}"/>
    <cellStyle name="Comma 4 2" xfId="163" xr:uid="{FF09FE24-61ED-408C-9812-58AA0512DF11}"/>
    <cellStyle name="Comma 4 2 2" xfId="1093" xr:uid="{9D626771-EC0B-4010-96D3-DF5DCD98D070}"/>
    <cellStyle name="Currency [0]" xfId="936" builtinId="7"/>
    <cellStyle name="Currency [0] 2" xfId="938" xr:uid="{CF5C3813-CAA7-4B90-AE10-2B91B56F201E}"/>
    <cellStyle name="Currency [0] 2 2" xfId="1868" xr:uid="{11C6493C-78C8-4BD3-A084-D3FB59BE3CBC}"/>
    <cellStyle name="Currency [0] 3" xfId="1866" xr:uid="{887161A6-383B-4D77-A499-20E7FE1718DB}"/>
    <cellStyle name="Currency 2" xfId="12" xr:uid="{00000000-0005-0000-0000-000005000000}"/>
    <cellStyle name="Currency 2 2" xfId="148" xr:uid="{63C5768F-9D78-4393-AC72-AD976F2B1132}"/>
    <cellStyle name="Currency 2 2 2" xfId="1078" xr:uid="{96E457B3-2CA0-41D6-AEA0-7AE6D2B80804}"/>
    <cellStyle name="Currency 2 3" xfId="282" xr:uid="{5BF7E2F7-84AB-42B0-BA2C-571FEC42B963}"/>
    <cellStyle name="Currency 2 3 2" xfId="1212" xr:uid="{3BA8824D-E4B2-4F61-8CA0-E248A610AA49}"/>
    <cellStyle name="Currency 2 4" xfId="414" xr:uid="{3B4603B5-18FF-4C46-9061-D6C4DEE64934}"/>
    <cellStyle name="Currency 2 4 2" xfId="1344" xr:uid="{5C08AFD8-E17A-427E-B308-B6D4530A750B}"/>
    <cellStyle name="Currency 2 5" xfId="546" xr:uid="{51124236-6A9A-4B66-A7A2-D65F369010A8}"/>
    <cellStyle name="Currency 2 5 2" xfId="1476" xr:uid="{B3F056AC-3A14-493D-83E2-E231B5F7474E}"/>
    <cellStyle name="Currency 2 6" xfId="678" xr:uid="{A4A87236-F474-4F7E-A26C-A67F1703FD72}"/>
    <cellStyle name="Currency 2 6 2" xfId="1608" xr:uid="{D2FDB634-03DC-48CD-8595-BDBC9C0AD1F6}"/>
    <cellStyle name="Currency 2 7" xfId="810" xr:uid="{69E45347-58C8-47EF-8BC3-5E06ABB30CE0}"/>
    <cellStyle name="Currency 2 7 2" xfId="1740" xr:uid="{229516A0-9A5E-4E03-BC86-34B1CFA6BF8B}"/>
    <cellStyle name="Currency 2 8" xfId="946" xr:uid="{3666A6CE-285F-4910-84D6-62B5324C1DB0}"/>
    <cellStyle name="Currency 3" xfId="6" xr:uid="{00000000-0005-0000-0000-000006000000}"/>
    <cellStyle name="Currency 3 2" xfId="144" xr:uid="{161E35FC-7A5F-463E-BDB0-EECD7139434D}"/>
    <cellStyle name="Currency 3 2 2" xfId="1074" xr:uid="{81C350DF-23CC-4998-8121-53EFE46C4462}"/>
    <cellStyle name="Currency 3 3" xfId="278" xr:uid="{A93EB323-DB71-4F80-B1CF-F70CD492684D}"/>
    <cellStyle name="Currency 3 3 2" xfId="1208" xr:uid="{46DBDEE3-23CA-41D2-986F-D4D23902E7AB}"/>
    <cellStyle name="Currency 3 4" xfId="410" xr:uid="{FE1BA301-519C-4FA4-AFFE-27186544192B}"/>
    <cellStyle name="Currency 3 4 2" xfId="1340" xr:uid="{975021E5-BD45-4D15-B3DE-CDCF2D7BA907}"/>
    <cellStyle name="Currency 3 5" xfId="542" xr:uid="{ED1BC75D-44D2-49A6-A25C-8872D33221FB}"/>
    <cellStyle name="Currency 3 5 2" xfId="1472" xr:uid="{A0FDECC3-1F0B-4B06-B445-3B8F4271C39C}"/>
    <cellStyle name="Currency 3 6" xfId="674" xr:uid="{EFA0DB77-9377-4E8C-825C-7CBFBF517401}"/>
    <cellStyle name="Currency 3 6 2" xfId="1604" xr:uid="{05832315-7710-4B9A-8DDE-FF0EC3B65DA1}"/>
    <cellStyle name="Currency 3 7" xfId="806" xr:uid="{4F4525E4-62E1-4170-BD6A-0B89139A4E3E}"/>
    <cellStyle name="Currency 3 7 2" xfId="1736" xr:uid="{48EEAE99-B45F-45C1-94EE-39DD9D15A9E6}"/>
    <cellStyle name="Currency 3 8" xfId="942" xr:uid="{3F15D4B6-0C85-4F32-8EC4-F63ADCCAF06E}"/>
    <cellStyle name="Currency 4" xfId="30" xr:uid="{00000000-0005-0000-0000-000007000000}"/>
    <cellStyle name="Currency 4 2" xfId="164" xr:uid="{810BFFA4-91EF-4D27-B6E6-CE6496EDECC0}"/>
    <cellStyle name="Currency 4 2 2" xfId="1094" xr:uid="{0D48F92E-E23F-4797-AF09-E9D92183FC82}"/>
    <cellStyle name="Currency 5" xfId="940" xr:uid="{5DBA0EB3-0263-4DD3-A92F-A82652F6742E}"/>
    <cellStyle name="Normal" xfId="0" builtinId="0"/>
    <cellStyle name="Normal 2" xfId="2" xr:uid="{00000000-0005-0000-0000-00000A000000}"/>
    <cellStyle name="Normal 2 2" xfId="14" xr:uid="{00000000-0005-0000-0000-00000B000000}"/>
    <cellStyle name="Normal 2 3" xfId="7" xr:uid="{00000000-0005-0000-0000-00000C000000}"/>
    <cellStyle name="Normal 3" xfId="3" xr:uid="{00000000-0005-0000-0000-00000D000000}"/>
    <cellStyle name="Normal 3 10" xfId="78" xr:uid="{63A1301B-13F9-4517-B3B1-6C7FB20DEF53}"/>
    <cellStyle name="Normal 3 10 2" xfId="212" xr:uid="{51F543CE-4881-4B73-B32F-E9D0335A79E8}"/>
    <cellStyle name="Normal 3 10 2 2" xfId="1142" xr:uid="{5DA75B4C-DF2B-4379-89F4-AC48E5C30D58}"/>
    <cellStyle name="Normal 3 10 3" xfId="344" xr:uid="{6089DA2D-837B-4D35-BEB8-FBF0F5936DE4}"/>
    <cellStyle name="Normal 3 10 3 2" xfId="1274" xr:uid="{F55B791C-4664-49E1-AA64-9D088D8881B8}"/>
    <cellStyle name="Normal 3 10 4" xfId="476" xr:uid="{1A9668BA-D214-4170-BA09-94934C1489D0}"/>
    <cellStyle name="Normal 3 10 4 2" xfId="1406" xr:uid="{97951EEB-9C4A-402C-8828-97C5C95CD5D6}"/>
    <cellStyle name="Normal 3 10 5" xfId="608" xr:uid="{0807247C-E263-40CC-8FA5-F005DC4630C0}"/>
    <cellStyle name="Normal 3 10 5 2" xfId="1538" xr:uid="{31568514-37F7-4B32-B911-D479A9C3B072}"/>
    <cellStyle name="Normal 3 10 6" xfId="740" xr:uid="{5B39DCE4-7861-4AEF-82F0-E5B54A6FAC75}"/>
    <cellStyle name="Normal 3 10 6 2" xfId="1670" xr:uid="{9D203C82-113D-4514-800F-BCC9993C6539}"/>
    <cellStyle name="Normal 3 10 7" xfId="872" xr:uid="{4EC09F50-435D-49F9-8CE3-03431DCC061B}"/>
    <cellStyle name="Normal 3 10 7 2" xfId="1802" xr:uid="{19D48D2F-B7EC-42A7-95DC-14E39BBDAE02}"/>
    <cellStyle name="Normal 3 10 8" xfId="1008" xr:uid="{A4CE6B7F-62A7-48D8-BCE7-0564DCA7F868}"/>
    <cellStyle name="Normal 3 11" xfId="142" xr:uid="{873EC401-0DCC-4DA7-B82E-A4A0FB31B1BC}"/>
    <cellStyle name="Normal 3 11 2" xfId="1072" xr:uid="{1B5ECB87-2DED-41A3-AA15-1978F6491470}"/>
    <cellStyle name="Normal 3 12" xfId="276" xr:uid="{AFF534B7-7EB1-4190-BB81-0BE174961CCA}"/>
    <cellStyle name="Normal 3 12 2" xfId="1206" xr:uid="{76FF2555-7275-45E1-9A8E-D9DC2CA290A2}"/>
    <cellStyle name="Normal 3 13" xfId="408" xr:uid="{574794F1-6016-4499-8C35-B36AD25E0D91}"/>
    <cellStyle name="Normal 3 13 2" xfId="1338" xr:uid="{E29DC161-2127-45D8-AC4E-220B7D67720A}"/>
    <cellStyle name="Normal 3 14" xfId="540" xr:uid="{B32D5098-DA42-49D1-B725-B532D1026586}"/>
    <cellStyle name="Normal 3 14 2" xfId="1470" xr:uid="{2E7333F6-D589-491F-B314-73BEA98E6383}"/>
    <cellStyle name="Normal 3 15" xfId="672" xr:uid="{F96B7FA2-4D44-46FF-88A2-1397446983DF}"/>
    <cellStyle name="Normal 3 15 2" xfId="1602" xr:uid="{D57BAAFF-8265-46E1-A3E8-1D19B8304D96}"/>
    <cellStyle name="Normal 3 16" xfId="804" xr:uid="{90062665-7719-4CB7-9BBF-0C4AAC11801B}"/>
    <cellStyle name="Normal 3 16 2" xfId="1734" xr:uid="{C980B30E-DF29-42C0-8037-4EF1A1E76212}"/>
    <cellStyle name="Normal 3 17" xfId="939" xr:uid="{F497C091-A7F0-45E2-9C69-2E55F2652275}"/>
    <cellStyle name="Normal 3 2" xfId="15" xr:uid="{00000000-0005-0000-0000-00000E000000}"/>
    <cellStyle name="Normal 3 2 10" xfId="283" xr:uid="{2E78854A-7DE3-49F8-A053-2EBD57414B1D}"/>
    <cellStyle name="Normal 3 2 10 2" xfId="1213" xr:uid="{6FBA5F13-1BEC-4D86-8C4F-0296F7F9AEEE}"/>
    <cellStyle name="Normal 3 2 11" xfId="415" xr:uid="{E084DD06-B3A2-4A18-B506-DE5FFDFE90D1}"/>
    <cellStyle name="Normal 3 2 11 2" xfId="1345" xr:uid="{84E53307-2BF1-4F34-9BEB-562467CA5123}"/>
    <cellStyle name="Normal 3 2 12" xfId="547" xr:uid="{49784FE6-E04F-457F-99DA-475F15B96F31}"/>
    <cellStyle name="Normal 3 2 12 2" xfId="1477" xr:uid="{126AEA0A-3111-4083-868D-C9A6FBF6BB34}"/>
    <cellStyle name="Normal 3 2 13" xfId="679" xr:uid="{4CD66DB9-0501-4661-A5A4-926AC0CD34CD}"/>
    <cellStyle name="Normal 3 2 13 2" xfId="1609" xr:uid="{CF5F7ABE-35F9-4195-8392-AB05531A296B}"/>
    <cellStyle name="Normal 3 2 14" xfId="811" xr:uid="{51CE9ABC-F1F7-49BD-8101-2AC81A2BF771}"/>
    <cellStyle name="Normal 3 2 14 2" xfId="1741" xr:uid="{017C9289-0500-4DB7-B803-00C36FEBD722}"/>
    <cellStyle name="Normal 3 2 15" xfId="947" xr:uid="{58C34F0C-B532-46DF-84F2-588DC6EEC156}"/>
    <cellStyle name="Normal 3 2 2" xfId="18" xr:uid="{00000000-0005-0000-0000-00000F000000}"/>
    <cellStyle name="Normal 3 2 2 10" xfId="814" xr:uid="{FCDE8C57-07F9-4371-99CB-1B619E180187}"/>
    <cellStyle name="Normal 3 2 2 10 2" xfId="1744" xr:uid="{ED500733-BDBC-44B4-BF27-3FD7BC95480E}"/>
    <cellStyle name="Normal 3 2 2 11" xfId="950" xr:uid="{5DEB6D68-D575-4B25-A7C0-B6C012984192}"/>
    <cellStyle name="Normal 3 2 2 2" xfId="36" xr:uid="{00000000-0005-0000-0000-000010000000}"/>
    <cellStyle name="Normal 3 2 2 2 10" xfId="966" xr:uid="{D985DF86-D0DE-4D52-A023-710BAA00DC1B}"/>
    <cellStyle name="Normal 3 2 2 2 2" xfId="68" xr:uid="{00000000-0005-0000-0000-000010000000}"/>
    <cellStyle name="Normal 3 2 2 2 2 2" xfId="132" xr:uid="{D1B6AD20-7739-4A3B-ADC7-0F03BF3B42DB}"/>
    <cellStyle name="Normal 3 2 2 2 2 2 2" xfId="266" xr:uid="{145BA67B-56CC-4F5F-804A-62CD36196765}"/>
    <cellStyle name="Normal 3 2 2 2 2 2 2 2" xfId="1196" xr:uid="{5F847E8E-6CB2-4996-8E80-10E8DEF995A6}"/>
    <cellStyle name="Normal 3 2 2 2 2 2 3" xfId="398" xr:uid="{7E9DF97F-F982-407D-A479-51EB6104BCCA}"/>
    <cellStyle name="Normal 3 2 2 2 2 2 3 2" xfId="1328" xr:uid="{6FE5803A-C72E-4034-9C9B-F042E7104406}"/>
    <cellStyle name="Normal 3 2 2 2 2 2 4" xfId="530" xr:uid="{9B3BA93D-CD10-4FBE-BEC3-9788E89A1636}"/>
    <cellStyle name="Normal 3 2 2 2 2 2 4 2" xfId="1460" xr:uid="{E0E442AA-8FA4-4052-9D26-9E1F4F5E2CFF}"/>
    <cellStyle name="Normal 3 2 2 2 2 2 5" xfId="662" xr:uid="{A1BA1139-3A77-4D6B-BC92-678117E12053}"/>
    <cellStyle name="Normal 3 2 2 2 2 2 5 2" xfId="1592" xr:uid="{0BB25ECF-CA8A-4659-B279-4A0B2E5423FE}"/>
    <cellStyle name="Normal 3 2 2 2 2 2 6" xfId="794" xr:uid="{A8D95D51-92B2-4566-A58B-4E7011691D97}"/>
    <cellStyle name="Normal 3 2 2 2 2 2 6 2" xfId="1724" xr:uid="{117BBB56-6575-4515-8171-77B2F678CD68}"/>
    <cellStyle name="Normal 3 2 2 2 2 2 7" xfId="926" xr:uid="{ECC740AF-3844-44C4-A3BC-6163D0378F8D}"/>
    <cellStyle name="Normal 3 2 2 2 2 2 7 2" xfId="1856" xr:uid="{2BBFA195-9789-4F16-9521-953FAC1AED00}"/>
    <cellStyle name="Normal 3 2 2 2 2 2 8" xfId="1062" xr:uid="{2215256A-A74F-4658-B9F6-2876BAE24D8A}"/>
    <cellStyle name="Normal 3 2 2 2 2 3" xfId="202" xr:uid="{5B363368-40BD-4CF2-98F8-6D9C45F41185}"/>
    <cellStyle name="Normal 3 2 2 2 2 3 2" xfId="1132" xr:uid="{8DAFF915-D954-431E-AF8A-6DB36F7AC6AC}"/>
    <cellStyle name="Normal 3 2 2 2 2 4" xfId="334" xr:uid="{DA1B28DF-422F-40ED-A2C8-3426D1254884}"/>
    <cellStyle name="Normal 3 2 2 2 2 4 2" xfId="1264" xr:uid="{D4489DC5-86FD-4A91-A761-BED729B5D97D}"/>
    <cellStyle name="Normal 3 2 2 2 2 5" xfId="466" xr:uid="{77D63A25-6376-492B-BC27-0ED720FF91AA}"/>
    <cellStyle name="Normal 3 2 2 2 2 5 2" xfId="1396" xr:uid="{B603EF83-CBA4-4CB2-A9CD-F45385CFE54E}"/>
    <cellStyle name="Normal 3 2 2 2 2 6" xfId="598" xr:uid="{1BC3C66B-AFDB-4BFD-888C-9F48E2E806C6}"/>
    <cellStyle name="Normal 3 2 2 2 2 6 2" xfId="1528" xr:uid="{C2953FD6-B574-43DF-B5C2-A04758F936F1}"/>
    <cellStyle name="Normal 3 2 2 2 2 7" xfId="730" xr:uid="{96C87B49-389F-4696-B76C-D246292097EF}"/>
    <cellStyle name="Normal 3 2 2 2 2 7 2" xfId="1660" xr:uid="{CE2C7979-5E6D-4954-B44C-D89B6C012E38}"/>
    <cellStyle name="Normal 3 2 2 2 2 8" xfId="862" xr:uid="{F406EDBD-15AC-4C44-A702-5A4215B52EBF}"/>
    <cellStyle name="Normal 3 2 2 2 2 8 2" xfId="1792" xr:uid="{B6C22A60-2517-4857-B589-78CD47214096}"/>
    <cellStyle name="Normal 3 2 2 2 2 9" xfId="998" xr:uid="{79BACB2C-CEEF-4DD4-84B5-648308474016}"/>
    <cellStyle name="Normal 3 2 2 2 3" xfId="100" xr:uid="{8C27C844-F26D-49B5-AFCA-18CCEB9177C5}"/>
    <cellStyle name="Normal 3 2 2 2 3 2" xfId="234" xr:uid="{1E0179EF-1ABA-4787-8EB6-8A340E3BA418}"/>
    <cellStyle name="Normal 3 2 2 2 3 2 2" xfId="1164" xr:uid="{F6497BD9-E7C3-4995-8526-C66776A73AD6}"/>
    <cellStyle name="Normal 3 2 2 2 3 3" xfId="366" xr:uid="{7C80B45F-721E-4BBD-B31E-954E0FDC16B7}"/>
    <cellStyle name="Normal 3 2 2 2 3 3 2" xfId="1296" xr:uid="{9C2562D4-ACEB-48D2-804A-59305B3975C3}"/>
    <cellStyle name="Normal 3 2 2 2 3 4" xfId="498" xr:uid="{62531E43-4BDA-4A1E-851F-B80496DB6576}"/>
    <cellStyle name="Normal 3 2 2 2 3 4 2" xfId="1428" xr:uid="{9F22C1C5-BFB2-4D65-B35C-81B62D400CA3}"/>
    <cellStyle name="Normal 3 2 2 2 3 5" xfId="630" xr:uid="{2040401C-6B97-45E3-BDBF-C8A43A8233BB}"/>
    <cellStyle name="Normal 3 2 2 2 3 5 2" xfId="1560" xr:uid="{49E26EE1-853F-4390-B7A6-9AD1CC14A59A}"/>
    <cellStyle name="Normal 3 2 2 2 3 6" xfId="762" xr:uid="{291D387A-C4D9-4520-B00D-9E46D6D1EEED}"/>
    <cellStyle name="Normal 3 2 2 2 3 6 2" xfId="1692" xr:uid="{6A02EE39-DF59-4377-A7D9-BA96F0AF42BB}"/>
    <cellStyle name="Normal 3 2 2 2 3 7" xfId="894" xr:uid="{2B2E4950-EE24-4EDB-832E-231C2200D901}"/>
    <cellStyle name="Normal 3 2 2 2 3 7 2" xfId="1824" xr:uid="{3C878697-1F03-4039-85BC-0FF4BB8B8E77}"/>
    <cellStyle name="Normal 3 2 2 2 3 8" xfId="1030" xr:uid="{0F36D28B-1EE6-40FF-A71B-99FD1C955490}"/>
    <cellStyle name="Normal 3 2 2 2 4" xfId="170" xr:uid="{923C40E9-95F5-4E95-AB3D-BB8181B0057C}"/>
    <cellStyle name="Normal 3 2 2 2 4 2" xfId="1100" xr:uid="{43EF0183-467C-4FEA-8410-B65E044A2426}"/>
    <cellStyle name="Normal 3 2 2 2 5" xfId="302" xr:uid="{C3A8D106-78E3-4729-BF56-0D72B167AC23}"/>
    <cellStyle name="Normal 3 2 2 2 5 2" xfId="1232" xr:uid="{2670D604-9F6F-4C98-9AC2-3E59E07DE906}"/>
    <cellStyle name="Normal 3 2 2 2 6" xfId="434" xr:uid="{54D4A5C3-E0B4-4423-811A-95A88BC2A618}"/>
    <cellStyle name="Normal 3 2 2 2 6 2" xfId="1364" xr:uid="{265D6ED3-E4C4-4F45-BF65-922DD8E4D21B}"/>
    <cellStyle name="Normal 3 2 2 2 7" xfId="566" xr:uid="{A3EE5A85-328F-41EC-9B56-E487BCACDE3E}"/>
    <cellStyle name="Normal 3 2 2 2 7 2" xfId="1496" xr:uid="{06D2545C-5196-4994-A8BA-0E2081C70803}"/>
    <cellStyle name="Normal 3 2 2 2 8" xfId="698" xr:uid="{82FC730D-760D-4803-8D77-B429610B9A6F}"/>
    <cellStyle name="Normal 3 2 2 2 8 2" xfId="1628" xr:uid="{EE264E6C-81D6-4703-937A-5E9C391D6436}"/>
    <cellStyle name="Normal 3 2 2 2 9" xfId="830" xr:uid="{B553BFB6-157E-4B48-BFE5-3A51B2C0C492}"/>
    <cellStyle name="Normal 3 2 2 2 9 2" xfId="1760" xr:uid="{85FA65EE-B726-4E8D-A614-08E43491E3C5}"/>
    <cellStyle name="Normal 3 2 2 3" xfId="52" xr:uid="{00000000-0005-0000-0000-00000F000000}"/>
    <cellStyle name="Normal 3 2 2 3 2" xfId="116" xr:uid="{3C9C3707-9553-4176-B6DB-D85A696D2984}"/>
    <cellStyle name="Normal 3 2 2 3 2 2" xfId="250" xr:uid="{71B363ED-6643-4DA9-909B-508B61919EB8}"/>
    <cellStyle name="Normal 3 2 2 3 2 2 2" xfId="1180" xr:uid="{C3DF4F6C-0592-4686-B969-06FA513640D2}"/>
    <cellStyle name="Normal 3 2 2 3 2 3" xfId="382" xr:uid="{BCBA9A32-3345-4AD6-9A29-5F9DF771E8CF}"/>
    <cellStyle name="Normal 3 2 2 3 2 3 2" xfId="1312" xr:uid="{EEB945DE-4E3E-4E8C-AE4F-1426EA37F4AC}"/>
    <cellStyle name="Normal 3 2 2 3 2 4" xfId="514" xr:uid="{2EFA91D2-3118-4CB2-AC52-FEE18B578A58}"/>
    <cellStyle name="Normal 3 2 2 3 2 4 2" xfId="1444" xr:uid="{1333B4F5-CE11-4E0B-A1BF-45021C0AB668}"/>
    <cellStyle name="Normal 3 2 2 3 2 5" xfId="646" xr:uid="{A182FC06-E473-489A-9085-22213DE0C896}"/>
    <cellStyle name="Normal 3 2 2 3 2 5 2" xfId="1576" xr:uid="{04973BAB-1256-409A-B8F0-964B482554E3}"/>
    <cellStyle name="Normal 3 2 2 3 2 6" xfId="778" xr:uid="{8937CCFB-2A89-4C30-9581-7FC3E3761F1D}"/>
    <cellStyle name="Normal 3 2 2 3 2 6 2" xfId="1708" xr:uid="{9AE05D92-55CB-428F-AEA6-702FD2DC88DE}"/>
    <cellStyle name="Normal 3 2 2 3 2 7" xfId="910" xr:uid="{5A335FC3-88FA-4D9E-BA89-87C1EF581C86}"/>
    <cellStyle name="Normal 3 2 2 3 2 7 2" xfId="1840" xr:uid="{FD31D579-611F-4A86-AF91-FEC70DF70728}"/>
    <cellStyle name="Normal 3 2 2 3 2 8" xfId="1046" xr:uid="{46E5553B-72BC-410D-A49C-E29A5C172711}"/>
    <cellStyle name="Normal 3 2 2 3 3" xfId="186" xr:uid="{FCC5EAA7-4514-4F7A-A061-55421B78192F}"/>
    <cellStyle name="Normal 3 2 2 3 3 2" xfId="1116" xr:uid="{5DCFAA8F-877F-41B1-8A60-FF72E07261D4}"/>
    <cellStyle name="Normal 3 2 2 3 4" xfId="318" xr:uid="{6BC894C1-10E3-4476-9A16-FFB1DC77C87E}"/>
    <cellStyle name="Normal 3 2 2 3 4 2" xfId="1248" xr:uid="{DAE443DA-7E07-4368-BDB8-7261A36FC3DE}"/>
    <cellStyle name="Normal 3 2 2 3 5" xfId="450" xr:uid="{2F356C19-BBCE-4419-A8F4-8A6DE3D285D0}"/>
    <cellStyle name="Normal 3 2 2 3 5 2" xfId="1380" xr:uid="{CB65BD51-4AE7-44CD-86FA-C7E360DF8201}"/>
    <cellStyle name="Normal 3 2 2 3 6" xfId="582" xr:uid="{3C389A32-4EB7-40CE-B377-0E3EBDE21FF4}"/>
    <cellStyle name="Normal 3 2 2 3 6 2" xfId="1512" xr:uid="{2052D85D-4900-4BCB-8194-822440F2D311}"/>
    <cellStyle name="Normal 3 2 2 3 7" xfId="714" xr:uid="{23E0AB9E-B73B-4191-9868-1E82D1865B7D}"/>
    <cellStyle name="Normal 3 2 2 3 7 2" xfId="1644" xr:uid="{771F5B4F-EA8D-49F9-877E-A9EBE72F85B1}"/>
    <cellStyle name="Normal 3 2 2 3 8" xfId="846" xr:uid="{D3C7ED23-0A58-4F7D-82FE-0C702250CE7C}"/>
    <cellStyle name="Normal 3 2 2 3 8 2" xfId="1776" xr:uid="{35698F13-FA01-4641-9467-B7F21EB7F968}"/>
    <cellStyle name="Normal 3 2 2 3 9" xfId="982" xr:uid="{461E2FE6-D6DD-42CC-B115-F8B1CABCFC50}"/>
    <cellStyle name="Normal 3 2 2 4" xfId="84" xr:uid="{007FFECD-3451-4757-8C43-9942A23343DE}"/>
    <cellStyle name="Normal 3 2 2 4 2" xfId="218" xr:uid="{ED574A8F-0FBC-4A54-B485-C9D637E8674F}"/>
    <cellStyle name="Normal 3 2 2 4 2 2" xfId="1148" xr:uid="{2D3502F6-4CC7-4414-850F-F5FEFFF36B6D}"/>
    <cellStyle name="Normal 3 2 2 4 3" xfId="350" xr:uid="{410EF9F3-3C9B-42EB-91A9-17FE6FDCB9A4}"/>
    <cellStyle name="Normal 3 2 2 4 3 2" xfId="1280" xr:uid="{343DB462-1C78-4653-8CDB-B740E8386404}"/>
    <cellStyle name="Normal 3 2 2 4 4" xfId="482" xr:uid="{2CF4D052-6F56-4451-B100-3D2CF75828D3}"/>
    <cellStyle name="Normal 3 2 2 4 4 2" xfId="1412" xr:uid="{C77A911D-0D33-4339-B6D6-F2649CD98A05}"/>
    <cellStyle name="Normal 3 2 2 4 5" xfId="614" xr:uid="{F9EBEFAB-9FAA-4E85-AF91-BB7714E6E9EA}"/>
    <cellStyle name="Normal 3 2 2 4 5 2" xfId="1544" xr:uid="{DBAB590B-5A76-400E-977B-0C1ACD21D745}"/>
    <cellStyle name="Normal 3 2 2 4 6" xfId="746" xr:uid="{F30CF878-A865-414A-94D2-2F9A6FA62C54}"/>
    <cellStyle name="Normal 3 2 2 4 6 2" xfId="1676" xr:uid="{12C41E9B-CAAC-4B94-B7FD-59536CEED0E4}"/>
    <cellStyle name="Normal 3 2 2 4 7" xfId="878" xr:uid="{61B28C9E-7710-42E9-8030-B9B3F6E1B194}"/>
    <cellStyle name="Normal 3 2 2 4 7 2" xfId="1808" xr:uid="{DF1816A0-C811-48EF-B7F7-E1AC1C3D1153}"/>
    <cellStyle name="Normal 3 2 2 4 8" xfId="1014" xr:uid="{01E51457-841C-4701-8FA0-E3228E4680C9}"/>
    <cellStyle name="Normal 3 2 2 5" xfId="152" xr:uid="{DFE1031E-899F-4A3D-94CE-36CB7F5683BA}"/>
    <cellStyle name="Normal 3 2 2 5 2" xfId="1082" xr:uid="{B4CA5445-1736-46D7-8CED-30538CF705F1}"/>
    <cellStyle name="Normal 3 2 2 6" xfId="286" xr:uid="{5ECB39B9-C08F-4C8B-BC31-5A0036472B78}"/>
    <cellStyle name="Normal 3 2 2 6 2" xfId="1216" xr:uid="{2A2239CB-D44D-4508-9D57-E64AD9AF2A01}"/>
    <cellStyle name="Normal 3 2 2 7" xfId="418" xr:uid="{B0A66C18-5805-4673-BF01-AC0F8D9D4C52}"/>
    <cellStyle name="Normal 3 2 2 7 2" xfId="1348" xr:uid="{D06373B0-17A9-4768-A9F4-25601EE5F1F0}"/>
    <cellStyle name="Normal 3 2 2 8" xfId="550" xr:uid="{F65BF9CC-9DED-49EE-A3C7-197E04415237}"/>
    <cellStyle name="Normal 3 2 2 8 2" xfId="1480" xr:uid="{AEF3EDE2-E600-4647-A046-3EB7A568A30C}"/>
    <cellStyle name="Normal 3 2 2 9" xfId="682" xr:uid="{94E22B04-C102-4A6B-A170-BE176C166316}"/>
    <cellStyle name="Normal 3 2 2 9 2" xfId="1612" xr:uid="{DE98718F-4958-48D8-81C5-33D9137DA9C5}"/>
    <cellStyle name="Normal 3 2 3" xfId="21" xr:uid="{00000000-0005-0000-0000-000011000000}"/>
    <cellStyle name="Normal 3 2 3 10" xfId="817" xr:uid="{41DC0B5E-1054-4D92-839E-5E75336AB33D}"/>
    <cellStyle name="Normal 3 2 3 10 2" xfId="1747" xr:uid="{4BD44824-08C0-45E0-BEBC-7ABFC69FB80C}"/>
    <cellStyle name="Normal 3 2 3 11" xfId="953" xr:uid="{596F26D4-040F-4327-88A1-BCD11024B838}"/>
    <cellStyle name="Normal 3 2 3 2" xfId="39" xr:uid="{00000000-0005-0000-0000-000012000000}"/>
    <cellStyle name="Normal 3 2 3 2 10" xfId="969" xr:uid="{696CE3B0-D965-4BDD-9A84-4999EDDD19C3}"/>
    <cellStyle name="Normal 3 2 3 2 2" xfId="71" xr:uid="{00000000-0005-0000-0000-000012000000}"/>
    <cellStyle name="Normal 3 2 3 2 2 2" xfId="135" xr:uid="{B533CF8B-C57C-49B2-A478-AE0B44AD6A8C}"/>
    <cellStyle name="Normal 3 2 3 2 2 2 2" xfId="269" xr:uid="{E8F23DAF-D0DD-4A49-BADE-D00DC24C1EF5}"/>
    <cellStyle name="Normal 3 2 3 2 2 2 2 2" xfId="1199" xr:uid="{DE6D160B-3FF0-4F62-AE7C-67A99534D042}"/>
    <cellStyle name="Normal 3 2 3 2 2 2 3" xfId="401" xr:uid="{13CCD07D-DB89-49F0-8FDB-F461541AAB8F}"/>
    <cellStyle name="Normal 3 2 3 2 2 2 3 2" xfId="1331" xr:uid="{4C4FFF02-2625-4E39-9CB4-8BAE758D7697}"/>
    <cellStyle name="Normal 3 2 3 2 2 2 4" xfId="533" xr:uid="{42FD03F7-90DA-4519-8492-AE3053A5FD40}"/>
    <cellStyle name="Normal 3 2 3 2 2 2 4 2" xfId="1463" xr:uid="{B35DF7EA-5C9E-42F3-BD66-6721831A4C38}"/>
    <cellStyle name="Normal 3 2 3 2 2 2 5" xfId="665" xr:uid="{DC38D37E-6824-43E9-8959-81A6CAAD9548}"/>
    <cellStyle name="Normal 3 2 3 2 2 2 5 2" xfId="1595" xr:uid="{D08D2162-9604-46D3-9882-E18EF0ADA96B}"/>
    <cellStyle name="Normal 3 2 3 2 2 2 6" xfId="797" xr:uid="{818361C1-FCBB-4293-AD5A-3A445593B692}"/>
    <cellStyle name="Normal 3 2 3 2 2 2 6 2" xfId="1727" xr:uid="{47AA3E90-6FCD-49FB-84B4-EDE69006FBD4}"/>
    <cellStyle name="Normal 3 2 3 2 2 2 7" xfId="929" xr:uid="{491CA352-4B0F-40F1-8052-181B597FD141}"/>
    <cellStyle name="Normal 3 2 3 2 2 2 7 2" xfId="1859" xr:uid="{91B961A3-EB4B-46E2-B907-E5335C4FE70B}"/>
    <cellStyle name="Normal 3 2 3 2 2 2 8" xfId="1065" xr:uid="{AEEA2655-D596-481D-80BA-CBD93A72249C}"/>
    <cellStyle name="Normal 3 2 3 2 2 3" xfId="205" xr:uid="{997D9C70-B280-41D8-98BA-3BB7A61238C2}"/>
    <cellStyle name="Normal 3 2 3 2 2 3 2" xfId="1135" xr:uid="{80708CA9-FB9C-439A-B527-CFE699BC3B77}"/>
    <cellStyle name="Normal 3 2 3 2 2 4" xfId="337" xr:uid="{E3282E7A-5DE5-4D87-981A-47AC4F1DA52E}"/>
    <cellStyle name="Normal 3 2 3 2 2 4 2" xfId="1267" xr:uid="{290F0C62-52A9-451E-8DEB-DEA2969C31D7}"/>
    <cellStyle name="Normal 3 2 3 2 2 5" xfId="469" xr:uid="{0E153284-BFCE-4B67-8EEB-3A9C5A1142ED}"/>
    <cellStyle name="Normal 3 2 3 2 2 5 2" xfId="1399" xr:uid="{0250E123-2B85-4431-A3E0-9A1E8E908BB5}"/>
    <cellStyle name="Normal 3 2 3 2 2 6" xfId="601" xr:uid="{706336C6-CCBD-4DF9-990B-69F4123960C1}"/>
    <cellStyle name="Normal 3 2 3 2 2 6 2" xfId="1531" xr:uid="{7BC3084F-63CB-41E6-854D-AFE77F6A23E4}"/>
    <cellStyle name="Normal 3 2 3 2 2 7" xfId="733" xr:uid="{E218052C-FD40-4C37-BE00-07218F0A61A6}"/>
    <cellStyle name="Normal 3 2 3 2 2 7 2" xfId="1663" xr:uid="{C74C1D0C-803A-48E2-8808-5314D649F906}"/>
    <cellStyle name="Normal 3 2 3 2 2 8" xfId="865" xr:uid="{357BD38B-052E-4DDB-9A49-D14C241A84CD}"/>
    <cellStyle name="Normal 3 2 3 2 2 8 2" xfId="1795" xr:uid="{0DC1A88D-25E5-4916-ABF8-DED85302FC5C}"/>
    <cellStyle name="Normal 3 2 3 2 2 9" xfId="1001" xr:uid="{68BD1DAB-AFF1-4B1C-8555-8B82A72F85F9}"/>
    <cellStyle name="Normal 3 2 3 2 3" xfId="103" xr:uid="{C1A12B49-244A-42E0-82BD-2E51DA299C3D}"/>
    <cellStyle name="Normal 3 2 3 2 3 2" xfId="237" xr:uid="{BD73732C-3395-4E4A-A67A-DE5319409C88}"/>
    <cellStyle name="Normal 3 2 3 2 3 2 2" xfId="1167" xr:uid="{D8055CAE-81C9-4868-B48A-C89CF6FA919A}"/>
    <cellStyle name="Normal 3 2 3 2 3 3" xfId="369" xr:uid="{59D9D395-E5C2-4FBD-AD03-52F06A7B902B}"/>
    <cellStyle name="Normal 3 2 3 2 3 3 2" xfId="1299" xr:uid="{D907898E-857A-408F-A2BB-2FD8C707A652}"/>
    <cellStyle name="Normal 3 2 3 2 3 4" xfId="501" xr:uid="{D35A4C14-100C-45DE-8B86-25CF2DE9E030}"/>
    <cellStyle name="Normal 3 2 3 2 3 4 2" xfId="1431" xr:uid="{7FF1ECB0-A7D3-410C-8AB9-37DCD97117BC}"/>
    <cellStyle name="Normal 3 2 3 2 3 5" xfId="633" xr:uid="{6F25D226-DD27-44DE-922E-B5A6D8170BF0}"/>
    <cellStyle name="Normal 3 2 3 2 3 5 2" xfId="1563" xr:uid="{FF67B329-B19D-478D-A36B-A654CE71A0DA}"/>
    <cellStyle name="Normal 3 2 3 2 3 6" xfId="765" xr:uid="{882E0441-355A-465C-9AAE-422755F25F3A}"/>
    <cellStyle name="Normal 3 2 3 2 3 6 2" xfId="1695" xr:uid="{7FC2D63D-D72A-4C36-8BB6-DAC24B0A0C7B}"/>
    <cellStyle name="Normal 3 2 3 2 3 7" xfId="897" xr:uid="{BE9004A7-46E4-4B4B-9641-8C796C021551}"/>
    <cellStyle name="Normal 3 2 3 2 3 7 2" xfId="1827" xr:uid="{385FF7DF-89BF-4165-8184-661537E88C15}"/>
    <cellStyle name="Normal 3 2 3 2 3 8" xfId="1033" xr:uid="{DDD2A515-7580-4698-9247-3F165ED90796}"/>
    <cellStyle name="Normal 3 2 3 2 4" xfId="173" xr:uid="{3D37D468-B2AC-44C7-AA78-5090590D867D}"/>
    <cellStyle name="Normal 3 2 3 2 4 2" xfId="1103" xr:uid="{165033EE-9F21-4236-ADC7-A881E9B30A29}"/>
    <cellStyle name="Normal 3 2 3 2 5" xfId="305" xr:uid="{7CA34748-1F62-4350-BF49-35D9D11549C2}"/>
    <cellStyle name="Normal 3 2 3 2 5 2" xfId="1235" xr:uid="{2D90455C-053E-4752-A349-3F7B9608B21E}"/>
    <cellStyle name="Normal 3 2 3 2 6" xfId="437" xr:uid="{BB9A0BF3-B7EA-4027-BB3F-8A420D50D74E}"/>
    <cellStyle name="Normal 3 2 3 2 6 2" xfId="1367" xr:uid="{8934FD78-2BEF-49F0-AEBE-86416BA72B33}"/>
    <cellStyle name="Normal 3 2 3 2 7" xfId="569" xr:uid="{C85FAAEB-A505-472A-95D2-2210B3ACEB09}"/>
    <cellStyle name="Normal 3 2 3 2 7 2" xfId="1499" xr:uid="{D358C49C-ACC4-4082-BFA1-AA245DCFC883}"/>
    <cellStyle name="Normal 3 2 3 2 8" xfId="701" xr:uid="{9D336755-003B-4828-8E19-E55E55BC8334}"/>
    <cellStyle name="Normal 3 2 3 2 8 2" xfId="1631" xr:uid="{5B2C423B-E53E-41A5-BB2E-44D59C4B24B6}"/>
    <cellStyle name="Normal 3 2 3 2 9" xfId="833" xr:uid="{139DF320-06D6-4781-9966-F5ABBE48CB8F}"/>
    <cellStyle name="Normal 3 2 3 2 9 2" xfId="1763" xr:uid="{88670C52-3C8D-406B-8772-AB02BE99331D}"/>
    <cellStyle name="Normal 3 2 3 3" xfId="55" xr:uid="{00000000-0005-0000-0000-000011000000}"/>
    <cellStyle name="Normal 3 2 3 3 2" xfId="119" xr:uid="{738918AD-D37E-4D3E-8A67-B8849206A7CB}"/>
    <cellStyle name="Normal 3 2 3 3 2 2" xfId="253" xr:uid="{D0C9176A-7DE8-41D6-8DD9-16876DF54C4F}"/>
    <cellStyle name="Normal 3 2 3 3 2 2 2" xfId="1183" xr:uid="{7A4E6589-85E9-4B8E-8A44-632CFA341748}"/>
    <cellStyle name="Normal 3 2 3 3 2 3" xfId="385" xr:uid="{F71930F2-C477-4F30-BB4A-E703A33700A6}"/>
    <cellStyle name="Normal 3 2 3 3 2 3 2" xfId="1315" xr:uid="{EA883E5B-5783-4BB4-B355-3F5AA8618196}"/>
    <cellStyle name="Normal 3 2 3 3 2 4" xfId="517" xr:uid="{91778360-C4F7-4F0A-A914-29E6ED562A05}"/>
    <cellStyle name="Normal 3 2 3 3 2 4 2" xfId="1447" xr:uid="{5B08DACE-5B4F-4575-BFFD-11D21A588244}"/>
    <cellStyle name="Normal 3 2 3 3 2 5" xfId="649" xr:uid="{E86066FD-8883-4489-9372-AD128E5CDAA5}"/>
    <cellStyle name="Normal 3 2 3 3 2 5 2" xfId="1579" xr:uid="{36AB3ADF-F90A-4DCF-B064-64E3FF9EDCA1}"/>
    <cellStyle name="Normal 3 2 3 3 2 6" xfId="781" xr:uid="{E46AF568-6AD0-4476-9AF8-378AB77E707A}"/>
    <cellStyle name="Normal 3 2 3 3 2 6 2" xfId="1711" xr:uid="{6479DB10-7D6E-4C62-A3F4-45F4E344F228}"/>
    <cellStyle name="Normal 3 2 3 3 2 7" xfId="913" xr:uid="{7BBC6A32-575A-4E25-8980-9E6BC5BCC8AF}"/>
    <cellStyle name="Normal 3 2 3 3 2 7 2" xfId="1843" xr:uid="{8E7F8472-A81E-40A5-92E2-34208AA59F4C}"/>
    <cellStyle name="Normal 3 2 3 3 2 8" xfId="1049" xr:uid="{E839FD00-187C-4712-BA06-E7073FF39B7E}"/>
    <cellStyle name="Normal 3 2 3 3 3" xfId="189" xr:uid="{F01AE9C6-F164-42B5-AC98-26E0C8F0D11A}"/>
    <cellStyle name="Normal 3 2 3 3 3 2" xfId="1119" xr:uid="{4B674DD3-3440-4F90-98BA-9C8906037C4F}"/>
    <cellStyle name="Normal 3 2 3 3 4" xfId="321" xr:uid="{813A83C2-7395-467E-897C-865B10F304D4}"/>
    <cellStyle name="Normal 3 2 3 3 4 2" xfId="1251" xr:uid="{CA137835-C05B-419D-B3D4-35ABB8C3774A}"/>
    <cellStyle name="Normal 3 2 3 3 5" xfId="453" xr:uid="{1E446D48-1D44-486F-B227-5805A7AFBD63}"/>
    <cellStyle name="Normal 3 2 3 3 5 2" xfId="1383" xr:uid="{DF3E6ED1-6759-40AA-949C-9D34AE5E694F}"/>
    <cellStyle name="Normal 3 2 3 3 6" xfId="585" xr:uid="{6D49658F-D345-4CA0-BA92-B407D776B46B}"/>
    <cellStyle name="Normal 3 2 3 3 6 2" xfId="1515" xr:uid="{12128C9C-75C0-4F45-BF47-1153D49EABFE}"/>
    <cellStyle name="Normal 3 2 3 3 7" xfId="717" xr:uid="{9C4D625F-5B29-4F9B-8528-F7FDAD9A3C61}"/>
    <cellStyle name="Normal 3 2 3 3 7 2" xfId="1647" xr:uid="{59EB141E-C24C-485F-BF12-3253304D7733}"/>
    <cellStyle name="Normal 3 2 3 3 8" xfId="849" xr:uid="{17A9DADC-9C34-4B7A-BFA8-5A4DFBDC1E65}"/>
    <cellStyle name="Normal 3 2 3 3 8 2" xfId="1779" xr:uid="{C7A68F05-7C22-4246-821D-0803B4267786}"/>
    <cellStyle name="Normal 3 2 3 3 9" xfId="985" xr:uid="{6D57AD8C-8F97-4A2F-8F4B-F7B053C69587}"/>
    <cellStyle name="Normal 3 2 3 4" xfId="87" xr:uid="{BEE29A4A-CF7E-4E91-B1ED-2849C35BD02A}"/>
    <cellStyle name="Normal 3 2 3 4 2" xfId="221" xr:uid="{04A49F15-9A28-4D98-948F-D241797A090A}"/>
    <cellStyle name="Normal 3 2 3 4 2 2" xfId="1151" xr:uid="{3C612DE7-AFD7-4ABB-BEE1-62E68A3DD36F}"/>
    <cellStyle name="Normal 3 2 3 4 3" xfId="353" xr:uid="{CD459E3A-6BA0-4D6F-9D04-E795BA4A7D17}"/>
    <cellStyle name="Normal 3 2 3 4 3 2" xfId="1283" xr:uid="{C4CCDEEB-B4F2-4C59-B833-23F8230E2CFB}"/>
    <cellStyle name="Normal 3 2 3 4 4" xfId="485" xr:uid="{300BBE2A-29BB-49FF-8540-1009B8BD15A9}"/>
    <cellStyle name="Normal 3 2 3 4 4 2" xfId="1415" xr:uid="{5DBA0BC1-C0B9-4C27-8E86-D26E3EFAFA3D}"/>
    <cellStyle name="Normal 3 2 3 4 5" xfId="617" xr:uid="{E06248DB-52E9-41FC-B1BA-DC93C87DF413}"/>
    <cellStyle name="Normal 3 2 3 4 5 2" xfId="1547" xr:uid="{A1BFD734-7F3E-4BBC-AEBB-51EC2C2E19A5}"/>
    <cellStyle name="Normal 3 2 3 4 6" xfId="749" xr:uid="{03151C68-257E-4589-B350-A2C5244B010E}"/>
    <cellStyle name="Normal 3 2 3 4 6 2" xfId="1679" xr:uid="{414EF590-F61A-4FD2-9E9C-1F824E3D5DAB}"/>
    <cellStyle name="Normal 3 2 3 4 7" xfId="881" xr:uid="{EA2D6E8B-9476-4795-ABD3-3C7E4E5C8B89}"/>
    <cellStyle name="Normal 3 2 3 4 7 2" xfId="1811" xr:uid="{D99C9F39-8808-4445-8AE7-F5F2A74E6719}"/>
    <cellStyle name="Normal 3 2 3 4 8" xfId="1017" xr:uid="{C49E7F41-8364-4C08-BCAF-6F44FE632575}"/>
    <cellStyle name="Normal 3 2 3 5" xfId="155" xr:uid="{7D832C00-507A-40DB-A84F-536B412C92D4}"/>
    <cellStyle name="Normal 3 2 3 5 2" xfId="1085" xr:uid="{B4AFC631-D68D-4185-B9DD-72A2B326F221}"/>
    <cellStyle name="Normal 3 2 3 6" xfId="289" xr:uid="{65B892F3-04C4-4528-840D-989636F9EAEB}"/>
    <cellStyle name="Normal 3 2 3 6 2" xfId="1219" xr:uid="{4C45C0B7-E9B3-4F0F-A3CE-F79CD8A33DD3}"/>
    <cellStyle name="Normal 3 2 3 7" xfId="421" xr:uid="{1BECC7F3-2F7E-4FE4-A4CB-C294D4A0E46A}"/>
    <cellStyle name="Normal 3 2 3 7 2" xfId="1351" xr:uid="{C7467B9B-73FD-4CE4-A932-84F065630807}"/>
    <cellStyle name="Normal 3 2 3 8" xfId="553" xr:uid="{2FBAAD1A-2DFD-4383-AA4C-5154E4940445}"/>
    <cellStyle name="Normal 3 2 3 8 2" xfId="1483" xr:uid="{A714CA21-86DC-46FD-9F51-2E3AF1FE6D41}"/>
    <cellStyle name="Normal 3 2 3 9" xfId="685" xr:uid="{390B5023-AFD7-4404-845D-3B8B0540F1C5}"/>
    <cellStyle name="Normal 3 2 3 9 2" xfId="1615" xr:uid="{31CCD8A4-FD62-4201-A6DB-3B4B826A2CA2}"/>
    <cellStyle name="Normal 3 2 4" xfId="24" xr:uid="{00000000-0005-0000-0000-000013000000}"/>
    <cellStyle name="Normal 3 2 4 10" xfId="820" xr:uid="{359ED79F-1CB7-4A8D-999B-8AAD0DA18BC9}"/>
    <cellStyle name="Normal 3 2 4 10 2" xfId="1750" xr:uid="{600BA322-91EF-49B8-8C4F-563B90DA771E}"/>
    <cellStyle name="Normal 3 2 4 11" xfId="956" xr:uid="{77968A5F-7F81-4031-89D7-70C56B70CE0B}"/>
    <cellStyle name="Normal 3 2 4 2" xfId="42" xr:uid="{00000000-0005-0000-0000-000014000000}"/>
    <cellStyle name="Normal 3 2 4 2 10" xfId="972" xr:uid="{B0FB9A15-5B28-451B-8025-CEFDB5796520}"/>
    <cellStyle name="Normal 3 2 4 2 2" xfId="74" xr:uid="{00000000-0005-0000-0000-000014000000}"/>
    <cellStyle name="Normal 3 2 4 2 2 2" xfId="138" xr:uid="{4B4FB87E-1C9F-4A12-9052-9BC428BCD8AC}"/>
    <cellStyle name="Normal 3 2 4 2 2 2 2" xfId="272" xr:uid="{13E88DC5-35AE-4DD9-AE7B-F1758BAABE98}"/>
    <cellStyle name="Normal 3 2 4 2 2 2 2 2" xfId="1202" xr:uid="{0B1C823D-78F0-4E2B-BFC4-365E30D8ACD4}"/>
    <cellStyle name="Normal 3 2 4 2 2 2 3" xfId="404" xr:uid="{4EB385A8-AA93-4256-BC24-10A60CE56011}"/>
    <cellStyle name="Normal 3 2 4 2 2 2 3 2" xfId="1334" xr:uid="{FED90269-A7BD-4273-AA71-04B54C6C78E4}"/>
    <cellStyle name="Normal 3 2 4 2 2 2 4" xfId="536" xr:uid="{05B30FAC-69EB-49D0-BDDD-9333B982F556}"/>
    <cellStyle name="Normal 3 2 4 2 2 2 4 2" xfId="1466" xr:uid="{F9BF51EA-8655-449B-A239-77881239E81C}"/>
    <cellStyle name="Normal 3 2 4 2 2 2 5" xfId="668" xr:uid="{08528705-617A-4FBF-B00E-B1F37C6E1A19}"/>
    <cellStyle name="Normal 3 2 4 2 2 2 5 2" xfId="1598" xr:uid="{BF23D82C-74D9-4552-9441-8E18D643B15D}"/>
    <cellStyle name="Normal 3 2 4 2 2 2 6" xfId="800" xr:uid="{825A9276-33A6-4E1B-8EF6-BB3CA6141514}"/>
    <cellStyle name="Normal 3 2 4 2 2 2 6 2" xfId="1730" xr:uid="{805F1D82-1120-4175-8B27-DA002ADBA2EA}"/>
    <cellStyle name="Normal 3 2 4 2 2 2 7" xfId="932" xr:uid="{F5AF3AFF-0DAB-405B-9D52-A2C95B598FD9}"/>
    <cellStyle name="Normal 3 2 4 2 2 2 7 2" xfId="1862" xr:uid="{4B5C6106-0D31-4792-9085-2D6CA3A39FA7}"/>
    <cellStyle name="Normal 3 2 4 2 2 2 8" xfId="1068" xr:uid="{1F294D49-3580-4214-8BBA-72FA49446E45}"/>
    <cellStyle name="Normal 3 2 4 2 2 3" xfId="208" xr:uid="{C80703C7-A5ED-4F8E-A2E6-82434BF9D6D0}"/>
    <cellStyle name="Normal 3 2 4 2 2 3 2" xfId="1138" xr:uid="{3EE92C84-EAE3-4CC8-9FA4-2738A096722E}"/>
    <cellStyle name="Normal 3 2 4 2 2 4" xfId="340" xr:uid="{932B5440-6876-4F5E-8F16-EA4E38423713}"/>
    <cellStyle name="Normal 3 2 4 2 2 4 2" xfId="1270" xr:uid="{7EE7DD5C-1E99-4EA7-845F-01A19EBA9A10}"/>
    <cellStyle name="Normal 3 2 4 2 2 5" xfId="472" xr:uid="{9E2ACD3F-E227-4AEE-99C3-E6A393CD35EB}"/>
    <cellStyle name="Normal 3 2 4 2 2 5 2" xfId="1402" xr:uid="{FE5A26E1-47A4-44FF-AE52-4C00B1881458}"/>
    <cellStyle name="Normal 3 2 4 2 2 6" xfId="604" xr:uid="{1B475D4F-E831-4E8D-994E-CD47513D1FDD}"/>
    <cellStyle name="Normal 3 2 4 2 2 6 2" xfId="1534" xr:uid="{843194D1-7163-49CB-88C1-50A9EB306C08}"/>
    <cellStyle name="Normal 3 2 4 2 2 7" xfId="736" xr:uid="{F60FE6A7-E81F-463E-9043-3D9374493FED}"/>
    <cellStyle name="Normal 3 2 4 2 2 7 2" xfId="1666" xr:uid="{0C19A8FB-7B72-46B3-B436-D125E0D5BE61}"/>
    <cellStyle name="Normal 3 2 4 2 2 8" xfId="868" xr:uid="{EDC7B803-CA06-4354-B79F-151B37565350}"/>
    <cellStyle name="Normal 3 2 4 2 2 8 2" xfId="1798" xr:uid="{76917E36-9BB3-4174-8779-783650CD1A2F}"/>
    <cellStyle name="Normal 3 2 4 2 2 9" xfId="1004" xr:uid="{AF086DA7-2529-404C-9A86-D932BBF81E25}"/>
    <cellStyle name="Normal 3 2 4 2 3" xfId="106" xr:uid="{094B7036-5FEE-4215-991C-48E7AC32DEA4}"/>
    <cellStyle name="Normal 3 2 4 2 3 2" xfId="240" xr:uid="{E9D29592-D6EC-4157-9E79-A750996DD63E}"/>
    <cellStyle name="Normal 3 2 4 2 3 2 2" xfId="1170" xr:uid="{6889787D-5972-45F5-AE6B-6A9594696805}"/>
    <cellStyle name="Normal 3 2 4 2 3 3" xfId="372" xr:uid="{056FAA3A-7923-48E0-AEF4-F55D10FF8CEB}"/>
    <cellStyle name="Normal 3 2 4 2 3 3 2" xfId="1302" xr:uid="{C56B6C23-2078-4E34-A17C-F4D4E9E3AFEC}"/>
    <cellStyle name="Normal 3 2 4 2 3 4" xfId="504" xr:uid="{AFBE7204-B593-4CCE-A63A-5FE64D50A34B}"/>
    <cellStyle name="Normal 3 2 4 2 3 4 2" xfId="1434" xr:uid="{6D1F5742-FCC4-4015-A4A3-5EA07F0AF9DE}"/>
    <cellStyle name="Normal 3 2 4 2 3 5" xfId="636" xr:uid="{14021C2F-3371-42EE-AE7B-605B514906DA}"/>
    <cellStyle name="Normal 3 2 4 2 3 5 2" xfId="1566" xr:uid="{11B987EC-81DD-40DA-9219-9B2F29AD4680}"/>
    <cellStyle name="Normal 3 2 4 2 3 6" xfId="768" xr:uid="{D7A7DCF7-FBA8-457B-AE08-947E699B9D2E}"/>
    <cellStyle name="Normal 3 2 4 2 3 6 2" xfId="1698" xr:uid="{01A74654-DDDC-4CE6-B754-DCD5148C5A8B}"/>
    <cellStyle name="Normal 3 2 4 2 3 7" xfId="900" xr:uid="{4969AF49-A364-463A-9A59-1E90F609146F}"/>
    <cellStyle name="Normal 3 2 4 2 3 7 2" xfId="1830" xr:uid="{3DED609F-244B-4135-8107-CFC04605B77D}"/>
    <cellStyle name="Normal 3 2 4 2 3 8" xfId="1036" xr:uid="{2F925D53-E7B1-4285-9037-E26DB413F4CA}"/>
    <cellStyle name="Normal 3 2 4 2 4" xfId="176" xr:uid="{D5FC9804-59B2-451A-9DC1-63045C38E878}"/>
    <cellStyle name="Normal 3 2 4 2 4 2" xfId="1106" xr:uid="{266E1706-CAE8-4971-8329-380F042EA349}"/>
    <cellStyle name="Normal 3 2 4 2 5" xfId="308" xr:uid="{1E0A5BFB-172B-4385-9C1B-83DCE4CB94CD}"/>
    <cellStyle name="Normal 3 2 4 2 5 2" xfId="1238" xr:uid="{53A58370-13B1-45A6-8C7E-3C6211478E55}"/>
    <cellStyle name="Normal 3 2 4 2 6" xfId="440" xr:uid="{522F9B2B-FE96-42D9-AA05-EE2A126110FD}"/>
    <cellStyle name="Normal 3 2 4 2 6 2" xfId="1370" xr:uid="{E6BABEDC-EC13-4C2A-BA28-5E524E5A7100}"/>
    <cellStyle name="Normal 3 2 4 2 7" xfId="572" xr:uid="{27DB8779-3AF4-43BF-95D1-586F202D492E}"/>
    <cellStyle name="Normal 3 2 4 2 7 2" xfId="1502" xr:uid="{AC75ABDF-5C0C-4E0C-B3C3-27712F752C30}"/>
    <cellStyle name="Normal 3 2 4 2 8" xfId="704" xr:uid="{CAD04878-A824-45C0-8956-15E71B8F11BA}"/>
    <cellStyle name="Normal 3 2 4 2 8 2" xfId="1634" xr:uid="{F85DC5DF-6334-46A5-915A-2D56F04CC1CD}"/>
    <cellStyle name="Normal 3 2 4 2 9" xfId="836" xr:uid="{8FE605B1-DC3F-410A-983C-B064F9169E80}"/>
    <cellStyle name="Normal 3 2 4 2 9 2" xfId="1766" xr:uid="{1B418B91-0B47-4AA6-B86F-68AD775EEB18}"/>
    <cellStyle name="Normal 3 2 4 3" xfId="58" xr:uid="{00000000-0005-0000-0000-000013000000}"/>
    <cellStyle name="Normal 3 2 4 3 2" xfId="122" xr:uid="{B42D72A6-A38E-474E-97FB-89B79E137C9C}"/>
    <cellStyle name="Normal 3 2 4 3 2 2" xfId="256" xr:uid="{93A4163E-A7D8-4D77-BEF0-7495AF9532BA}"/>
    <cellStyle name="Normal 3 2 4 3 2 2 2" xfId="1186" xr:uid="{12E7C668-B119-49C3-98EB-C4A8216E628B}"/>
    <cellStyle name="Normal 3 2 4 3 2 3" xfId="388" xr:uid="{CF6F4646-A813-476E-A3DB-575D15B43972}"/>
    <cellStyle name="Normal 3 2 4 3 2 3 2" xfId="1318" xr:uid="{2ABB25BC-4E72-43E1-8009-790F7BBD62E6}"/>
    <cellStyle name="Normal 3 2 4 3 2 4" xfId="520" xr:uid="{31737158-A830-4324-A271-CF7BF3173D5B}"/>
    <cellStyle name="Normal 3 2 4 3 2 4 2" xfId="1450" xr:uid="{DEDFEAE2-F0BF-4EBE-8D4D-AF71861B45AC}"/>
    <cellStyle name="Normal 3 2 4 3 2 5" xfId="652" xr:uid="{546FA737-18B8-41F3-83E2-9B65BF7FFA01}"/>
    <cellStyle name="Normal 3 2 4 3 2 5 2" xfId="1582" xr:uid="{E15BFA91-2C42-42DC-9A45-C72086E52A6F}"/>
    <cellStyle name="Normal 3 2 4 3 2 6" xfId="784" xr:uid="{EDC19098-E89C-4847-A668-3DFF62D55DC9}"/>
    <cellStyle name="Normal 3 2 4 3 2 6 2" xfId="1714" xr:uid="{4D59A990-56F2-4981-8218-793DBF83E34F}"/>
    <cellStyle name="Normal 3 2 4 3 2 7" xfId="916" xr:uid="{B5171713-0108-448C-A8C3-581EEC45C784}"/>
    <cellStyle name="Normal 3 2 4 3 2 7 2" xfId="1846" xr:uid="{C3006E5D-F187-4466-A367-635217CBCE4F}"/>
    <cellStyle name="Normal 3 2 4 3 2 8" xfId="1052" xr:uid="{4B141022-AFB1-4A23-BDB9-DAF53AFEEFEE}"/>
    <cellStyle name="Normal 3 2 4 3 3" xfId="192" xr:uid="{0BDC0A6E-A079-46FF-B47B-445C24A3AA6C}"/>
    <cellStyle name="Normal 3 2 4 3 3 2" xfId="1122" xr:uid="{89D49B8B-6FC7-457F-A05F-6791253A414B}"/>
    <cellStyle name="Normal 3 2 4 3 4" xfId="324" xr:uid="{BA676AB2-D06C-45C9-A860-15B88E75621F}"/>
    <cellStyle name="Normal 3 2 4 3 4 2" xfId="1254" xr:uid="{C5C49E18-6A42-427D-B07A-E30000A21007}"/>
    <cellStyle name="Normal 3 2 4 3 5" xfId="456" xr:uid="{CB034823-47C1-4957-8987-D75F4EC2613E}"/>
    <cellStyle name="Normal 3 2 4 3 5 2" xfId="1386" xr:uid="{11AC6D52-A534-4C03-AD00-1A99D5E234A5}"/>
    <cellStyle name="Normal 3 2 4 3 6" xfId="588" xr:uid="{5C0BCF07-151C-4D4B-9AE9-8F9771AB1E9A}"/>
    <cellStyle name="Normal 3 2 4 3 6 2" xfId="1518" xr:uid="{6F6CCB6B-2160-4D7D-B7A5-5C1E5AC7E5E6}"/>
    <cellStyle name="Normal 3 2 4 3 7" xfId="720" xr:uid="{6561E0D0-1935-4375-8CA6-E83458BA852C}"/>
    <cellStyle name="Normal 3 2 4 3 7 2" xfId="1650" xr:uid="{592DEC55-7A6F-420A-B81A-7C1938D6EB36}"/>
    <cellStyle name="Normal 3 2 4 3 8" xfId="852" xr:uid="{B32AF7AD-DB28-4082-A403-18BDA3FF5354}"/>
    <cellStyle name="Normal 3 2 4 3 8 2" xfId="1782" xr:uid="{10AF0967-A968-4C60-8422-2E8890E1348D}"/>
    <cellStyle name="Normal 3 2 4 3 9" xfId="988" xr:uid="{BD5F07A3-65A9-4D8E-94E6-16102BE55169}"/>
    <cellStyle name="Normal 3 2 4 4" xfId="90" xr:uid="{38D61265-DFAD-447E-86E4-7135EDB2A524}"/>
    <cellStyle name="Normal 3 2 4 4 2" xfId="224" xr:uid="{D7CD28E2-3DA4-4CE0-AE4B-61C3484A815E}"/>
    <cellStyle name="Normal 3 2 4 4 2 2" xfId="1154" xr:uid="{80A2A4AA-C8FA-42A9-9309-7D8420870016}"/>
    <cellStyle name="Normal 3 2 4 4 3" xfId="356" xr:uid="{1007D72E-6810-4607-8B36-68B9D5D1F3FC}"/>
    <cellStyle name="Normal 3 2 4 4 3 2" xfId="1286" xr:uid="{C15E7311-61A6-4369-91E5-3A6BDA2078EA}"/>
    <cellStyle name="Normal 3 2 4 4 4" xfId="488" xr:uid="{66DF7647-36BA-441D-8D1E-05924B751A2A}"/>
    <cellStyle name="Normal 3 2 4 4 4 2" xfId="1418" xr:uid="{264A47DE-BA0C-4000-9974-924A468DB91C}"/>
    <cellStyle name="Normal 3 2 4 4 5" xfId="620" xr:uid="{076057D7-8528-4F73-AB28-D0AC6876E947}"/>
    <cellStyle name="Normal 3 2 4 4 5 2" xfId="1550" xr:uid="{BA4DEB23-4020-48F5-BC4E-EB029348DA63}"/>
    <cellStyle name="Normal 3 2 4 4 6" xfId="752" xr:uid="{231B585B-5CF7-4BA4-84CD-48C1FE8B0EFB}"/>
    <cellStyle name="Normal 3 2 4 4 6 2" xfId="1682" xr:uid="{4603B652-2E8B-4592-BC69-C20B4BBAB1BE}"/>
    <cellStyle name="Normal 3 2 4 4 7" xfId="884" xr:uid="{BF9BA394-B17A-45B9-8515-156058027001}"/>
    <cellStyle name="Normal 3 2 4 4 7 2" xfId="1814" xr:uid="{7A11E9B3-F414-4B2A-A449-1C9747227AB8}"/>
    <cellStyle name="Normal 3 2 4 4 8" xfId="1020" xr:uid="{BBE273DE-1A44-4352-800B-2B745D7A2FE1}"/>
    <cellStyle name="Normal 3 2 4 5" xfId="158" xr:uid="{F9691368-D14A-4535-A791-426FE296C951}"/>
    <cellStyle name="Normal 3 2 4 5 2" xfId="1088" xr:uid="{A71005C0-C48B-4B25-A579-0B499898C3B4}"/>
    <cellStyle name="Normal 3 2 4 6" xfId="292" xr:uid="{09B67F25-771F-4088-A327-C1D16CCFAE79}"/>
    <cellStyle name="Normal 3 2 4 6 2" xfId="1222" xr:uid="{8533C6D0-C181-431A-B2F9-38EE4828081F}"/>
    <cellStyle name="Normal 3 2 4 7" xfId="424" xr:uid="{51F1B78E-4F35-47AF-AD89-0F73F45C5CB2}"/>
    <cellStyle name="Normal 3 2 4 7 2" xfId="1354" xr:uid="{E1E5A1E3-38CA-4770-977B-B15466EE3B95}"/>
    <cellStyle name="Normal 3 2 4 8" xfId="556" xr:uid="{58BE5F5A-8200-4898-A032-0645F127B5EE}"/>
    <cellStyle name="Normal 3 2 4 8 2" xfId="1486" xr:uid="{B552B918-381C-4BB0-8F5C-2351132CB31C}"/>
    <cellStyle name="Normal 3 2 4 9" xfId="688" xr:uid="{D841D3F3-74C7-4587-B123-05BFC411C847}"/>
    <cellStyle name="Normal 3 2 4 9 2" xfId="1618" xr:uid="{A8D369DF-8483-44FC-B847-8DCB32F0AA8B}"/>
    <cellStyle name="Normal 3 2 5" xfId="27" xr:uid="{00000000-0005-0000-0000-000015000000}"/>
    <cellStyle name="Normal 3 2 5 10" xfId="823" xr:uid="{105C41D7-92D7-4B3C-A94F-0E19042E9A28}"/>
    <cellStyle name="Normal 3 2 5 10 2" xfId="1753" xr:uid="{48F7294B-E69F-451C-88A7-0A7B391499A1}"/>
    <cellStyle name="Normal 3 2 5 11" xfId="937" xr:uid="{7518330D-0D7B-4706-9722-CFFA366650A0}"/>
    <cellStyle name="Normal 3 2 5 11 2" xfId="1867" xr:uid="{D20ED2A5-56E3-4923-AB6B-ADC0AD72CD8C}"/>
    <cellStyle name="Normal 3 2 5 12" xfId="959" xr:uid="{D520CCB5-E4B7-4F15-8B99-8C4724EA41E1}"/>
    <cellStyle name="Normal 3 2 5 2" xfId="45" xr:uid="{00000000-0005-0000-0000-000016000000}"/>
    <cellStyle name="Normal 3 2 5 2 10" xfId="975" xr:uid="{602B32DE-83AA-43BD-BC2E-4ECB38956B35}"/>
    <cellStyle name="Normal 3 2 5 2 2" xfId="77" xr:uid="{00000000-0005-0000-0000-000016000000}"/>
    <cellStyle name="Normal 3 2 5 2 2 2" xfId="141" xr:uid="{F8819F89-0B65-4A87-8A66-E80D9BF63C60}"/>
    <cellStyle name="Normal 3 2 5 2 2 2 2" xfId="275" xr:uid="{08D016FF-85C9-494F-A409-2B1EA4C4EC66}"/>
    <cellStyle name="Normal 3 2 5 2 2 2 2 2" xfId="1205" xr:uid="{852565EA-4153-4DE7-BEB0-7F88506B18BC}"/>
    <cellStyle name="Normal 3 2 5 2 2 2 3" xfId="407" xr:uid="{ED93756A-709D-4197-A4CF-1ADEEEA8C62A}"/>
    <cellStyle name="Normal 3 2 5 2 2 2 3 2" xfId="1337" xr:uid="{A9EB1BC7-AE1B-40FE-9A84-8B1EAA37F0E7}"/>
    <cellStyle name="Normal 3 2 5 2 2 2 4" xfId="539" xr:uid="{F16808B9-ED19-46F0-A676-F53C492BAC9E}"/>
    <cellStyle name="Normal 3 2 5 2 2 2 4 2" xfId="1469" xr:uid="{90CDB9D8-2A83-45E2-A33B-4471C0EA6CE2}"/>
    <cellStyle name="Normal 3 2 5 2 2 2 5" xfId="671" xr:uid="{25BAA4A2-26B3-4259-9A99-9AA161506280}"/>
    <cellStyle name="Normal 3 2 5 2 2 2 5 2" xfId="1601" xr:uid="{575343E4-9507-40BD-9337-7E9E6E1D1DDD}"/>
    <cellStyle name="Normal 3 2 5 2 2 2 6" xfId="803" xr:uid="{AB752EA6-FF45-4B2C-920A-23F79AA3DDB4}"/>
    <cellStyle name="Normal 3 2 5 2 2 2 6 2" xfId="1733" xr:uid="{18298EED-6255-4FE9-8BC2-47DA62BC4321}"/>
    <cellStyle name="Normal 3 2 5 2 2 2 7" xfId="935" xr:uid="{FC066A66-E936-4410-9CE7-107ED4242B84}"/>
    <cellStyle name="Normal 3 2 5 2 2 2 7 2" xfId="1865" xr:uid="{78054F84-915F-4659-A980-230DD2AAAB93}"/>
    <cellStyle name="Normal 3 2 5 2 2 2 8" xfId="1071" xr:uid="{F7028AB0-69A1-4DC6-89B4-B0E43DCF8DDD}"/>
    <cellStyle name="Normal 3 2 5 2 2 3" xfId="211" xr:uid="{D99ADAFE-CB2F-40EE-A96C-5774E3985F31}"/>
    <cellStyle name="Normal 3 2 5 2 2 3 2" xfId="1141" xr:uid="{2A9BF436-FD44-41CA-8935-711C957C7456}"/>
    <cellStyle name="Normal 3 2 5 2 2 4" xfId="343" xr:uid="{58062EA0-E1FC-4385-A8D3-01EF53D02ECC}"/>
    <cellStyle name="Normal 3 2 5 2 2 4 2" xfId="1273" xr:uid="{6CBCCF7A-3D0C-425C-962E-DC7FFB0D1AB9}"/>
    <cellStyle name="Normal 3 2 5 2 2 5" xfId="475" xr:uid="{3B13FC6C-7B9E-4EA9-A51B-A53888CA80E4}"/>
    <cellStyle name="Normal 3 2 5 2 2 5 2" xfId="1405" xr:uid="{20A8F8F9-2C2E-4707-A16F-98FFF3B1FAFF}"/>
    <cellStyle name="Normal 3 2 5 2 2 6" xfId="607" xr:uid="{E7C6EC12-B9D3-40F6-A8F3-6EE7E0EAC91F}"/>
    <cellStyle name="Normal 3 2 5 2 2 6 2" xfId="1537" xr:uid="{14C6B38E-8D21-4425-8B17-6F5502D885A6}"/>
    <cellStyle name="Normal 3 2 5 2 2 7" xfId="739" xr:uid="{9F6562F9-AD92-421B-8C80-6632F9E1CF6F}"/>
    <cellStyle name="Normal 3 2 5 2 2 7 2" xfId="1669" xr:uid="{2F3A8484-4005-4A86-88EA-F6FA7620EEC9}"/>
    <cellStyle name="Normal 3 2 5 2 2 8" xfId="871" xr:uid="{54AC885D-48E7-422F-A0AE-7BAB15FDF255}"/>
    <cellStyle name="Normal 3 2 5 2 2 8 2" xfId="1801" xr:uid="{EADD91F6-35B4-4416-9D32-7069180C7306}"/>
    <cellStyle name="Normal 3 2 5 2 2 9" xfId="1007" xr:uid="{5CA88283-9D9C-4329-AC98-9A208E78D9A7}"/>
    <cellStyle name="Normal 3 2 5 2 3" xfId="109" xr:uid="{2D8BB078-CA24-443E-B54C-46582FBA1306}"/>
    <cellStyle name="Normal 3 2 5 2 3 2" xfId="243" xr:uid="{AC437F2B-66EA-42D5-A7CC-1274D82E1C76}"/>
    <cellStyle name="Normal 3 2 5 2 3 2 2" xfId="1173" xr:uid="{AB3FF9FA-4764-4144-9FA1-73B51668F9DD}"/>
    <cellStyle name="Normal 3 2 5 2 3 3" xfId="375" xr:uid="{45182B13-F47D-4565-A37D-82D91154C32E}"/>
    <cellStyle name="Normal 3 2 5 2 3 3 2" xfId="1305" xr:uid="{A627AB09-3043-4825-99EB-1A08A868F145}"/>
    <cellStyle name="Normal 3 2 5 2 3 4" xfId="507" xr:uid="{DAF683AD-A3A8-464E-89BE-ED3792CA0A45}"/>
    <cellStyle name="Normal 3 2 5 2 3 4 2" xfId="1437" xr:uid="{BAB8B1F7-0A1B-46AE-BD93-7AB16F645A61}"/>
    <cellStyle name="Normal 3 2 5 2 3 5" xfId="639" xr:uid="{35D6F7A1-1B78-4832-BCCC-D28148C039A1}"/>
    <cellStyle name="Normal 3 2 5 2 3 5 2" xfId="1569" xr:uid="{07382ECC-FD59-42DB-8610-0A0B542FC976}"/>
    <cellStyle name="Normal 3 2 5 2 3 6" xfId="771" xr:uid="{D30678A3-AD71-4887-A04D-F1E7D81DBBFB}"/>
    <cellStyle name="Normal 3 2 5 2 3 6 2" xfId="1701" xr:uid="{9979155C-2DE5-404E-B0FE-748C157E3EB4}"/>
    <cellStyle name="Normal 3 2 5 2 3 7" xfId="903" xr:uid="{0544E7FB-6B88-4E72-B0C0-419A42B984F9}"/>
    <cellStyle name="Normal 3 2 5 2 3 7 2" xfId="1833" xr:uid="{76FFAF8D-ED39-4950-814D-835377F8BADC}"/>
    <cellStyle name="Normal 3 2 5 2 3 8" xfId="1039" xr:uid="{A51EBF7C-C439-44F5-B132-3F8A212DF30C}"/>
    <cellStyle name="Normal 3 2 5 2 4" xfId="179" xr:uid="{01A00511-341D-450D-836E-D448E0F75B9D}"/>
    <cellStyle name="Normal 3 2 5 2 4 2" xfId="1109" xr:uid="{830AEF54-8D2E-460A-AE86-A692E9C5180D}"/>
    <cellStyle name="Normal 3 2 5 2 5" xfId="311" xr:uid="{B9FDEF6A-A798-4EA7-A5AA-8FE3DEEF1FBD}"/>
    <cellStyle name="Normal 3 2 5 2 5 2" xfId="1241" xr:uid="{A4EEF780-2CD8-40BF-8610-87F95FE52B44}"/>
    <cellStyle name="Normal 3 2 5 2 6" xfId="443" xr:uid="{034F5F77-6D9F-42D6-A75F-DE35E9A54348}"/>
    <cellStyle name="Normal 3 2 5 2 6 2" xfId="1373" xr:uid="{A59A6E8F-1834-4DD2-9653-9FA090B103F1}"/>
    <cellStyle name="Normal 3 2 5 2 7" xfId="575" xr:uid="{EFEF81D9-6C73-4DAB-ADCE-B8BE0D5DB36C}"/>
    <cellStyle name="Normal 3 2 5 2 7 2" xfId="1505" xr:uid="{592E7E55-27D6-4D6A-9E25-3A3AC3E244CA}"/>
    <cellStyle name="Normal 3 2 5 2 8" xfId="707" xr:uid="{0F0DDAD3-8B53-41C2-9B5A-BCEBF638366C}"/>
    <cellStyle name="Normal 3 2 5 2 8 2" xfId="1637" xr:uid="{227ADF3A-7F22-4B28-9CCE-18508908825F}"/>
    <cellStyle name="Normal 3 2 5 2 9" xfId="839" xr:uid="{0699B048-4720-4626-8C6C-C11113D001CF}"/>
    <cellStyle name="Normal 3 2 5 2 9 2" xfId="1769" xr:uid="{80120E8A-CFD1-4D7E-8DF5-1E5018CF7010}"/>
    <cellStyle name="Normal 3 2 5 3" xfId="61" xr:uid="{00000000-0005-0000-0000-000015000000}"/>
    <cellStyle name="Normal 3 2 5 3 2" xfId="125" xr:uid="{320B1067-44EE-4E91-8B4A-E25D66CB611D}"/>
    <cellStyle name="Normal 3 2 5 3 2 2" xfId="259" xr:uid="{27A9FE58-0954-4D49-A2B4-7ABC6ED1489F}"/>
    <cellStyle name="Normal 3 2 5 3 2 2 2" xfId="1189" xr:uid="{23B26709-7C76-4E61-84C1-A397C4A56E48}"/>
    <cellStyle name="Normal 3 2 5 3 2 3" xfId="391" xr:uid="{FE4657FF-29ED-46BA-B88C-A23A61BE4728}"/>
    <cellStyle name="Normal 3 2 5 3 2 3 2" xfId="1321" xr:uid="{D2F7354E-12A4-4BB6-B6F6-E6DB36845D58}"/>
    <cellStyle name="Normal 3 2 5 3 2 4" xfId="523" xr:uid="{64D94E85-AB78-4E8D-8D55-3AD27E1EDDC7}"/>
    <cellStyle name="Normal 3 2 5 3 2 4 2" xfId="1453" xr:uid="{A2A7BE42-B543-4FB5-9BB2-FF2EB1284DAC}"/>
    <cellStyle name="Normal 3 2 5 3 2 5" xfId="655" xr:uid="{B90283BC-7E04-4EFD-9145-0B4570E3DD7F}"/>
    <cellStyle name="Normal 3 2 5 3 2 5 2" xfId="1585" xr:uid="{16DDB06D-C32C-4886-8B13-CE4BB12574F6}"/>
    <cellStyle name="Normal 3 2 5 3 2 6" xfId="787" xr:uid="{781FFDA3-9BF2-4937-A128-AC9302E47C08}"/>
    <cellStyle name="Normal 3 2 5 3 2 6 2" xfId="1717" xr:uid="{F084C1D2-9364-470D-8170-AD9008D24209}"/>
    <cellStyle name="Normal 3 2 5 3 2 7" xfId="919" xr:uid="{C70D6538-21C3-4F74-83DF-DE97688DBD91}"/>
    <cellStyle name="Normal 3 2 5 3 2 7 2" xfId="1849" xr:uid="{91435AE2-DE95-4639-9F76-1F5F808BED9F}"/>
    <cellStyle name="Normal 3 2 5 3 2 8" xfId="1055" xr:uid="{89D37715-681D-48BC-911A-70D53497E40E}"/>
    <cellStyle name="Normal 3 2 5 3 3" xfId="195" xr:uid="{8BB676A6-8C59-4535-B599-68681A4D52C7}"/>
    <cellStyle name="Normal 3 2 5 3 3 2" xfId="1125" xr:uid="{F8892960-335D-4C61-BA21-9D7253F94E84}"/>
    <cellStyle name="Normal 3 2 5 3 4" xfId="327" xr:uid="{51EB9E6A-FCEC-4B07-8B26-97D0CB853B9E}"/>
    <cellStyle name="Normal 3 2 5 3 4 2" xfId="1257" xr:uid="{6CA28973-5DEA-40F9-9774-83748BD464FC}"/>
    <cellStyle name="Normal 3 2 5 3 5" xfId="459" xr:uid="{CEEEAE62-AEF5-4FDF-BFEA-EB8DEA7D751C}"/>
    <cellStyle name="Normal 3 2 5 3 5 2" xfId="1389" xr:uid="{4B90FD36-D803-42A0-8282-2A00262E1E20}"/>
    <cellStyle name="Normal 3 2 5 3 6" xfId="591" xr:uid="{A761BE9B-E985-4368-88B9-F105BB9295FC}"/>
    <cellStyle name="Normal 3 2 5 3 6 2" xfId="1521" xr:uid="{28FCCA9B-BC73-415E-A451-FB27ECC91967}"/>
    <cellStyle name="Normal 3 2 5 3 7" xfId="723" xr:uid="{B17C6D98-60B4-45A2-8332-126D1E0C740F}"/>
    <cellStyle name="Normal 3 2 5 3 7 2" xfId="1653" xr:uid="{FBEF0254-AF15-4E94-9D77-7061777A63DD}"/>
    <cellStyle name="Normal 3 2 5 3 8" xfId="855" xr:uid="{9A18A879-D354-40F5-87FE-43B898142A01}"/>
    <cellStyle name="Normal 3 2 5 3 8 2" xfId="1785" xr:uid="{A3D4919D-9279-41E1-885C-A4BC044900FD}"/>
    <cellStyle name="Normal 3 2 5 3 9" xfId="991" xr:uid="{E60FB7FA-3B62-480A-ACD5-62F9FFC5BC3B}"/>
    <cellStyle name="Normal 3 2 5 4" xfId="93" xr:uid="{A8D51B7C-B87D-43D2-AFA9-703D3A9939AA}"/>
    <cellStyle name="Normal 3 2 5 4 2" xfId="227" xr:uid="{AA562200-E782-4054-86E4-C88B83D33469}"/>
    <cellStyle name="Normal 3 2 5 4 2 2" xfId="1157" xr:uid="{0C42E9CC-6459-4067-AAA5-CB327BD68E82}"/>
    <cellStyle name="Normal 3 2 5 4 3" xfId="359" xr:uid="{38938B6A-4086-4B43-A7D7-2A24A751BCA4}"/>
    <cellStyle name="Normal 3 2 5 4 3 2" xfId="1289" xr:uid="{35B97E24-67A3-4BC0-A5F4-9781EB78D080}"/>
    <cellStyle name="Normal 3 2 5 4 4" xfId="491" xr:uid="{062759AB-6A9A-44D1-A405-1A9D1BD58A15}"/>
    <cellStyle name="Normal 3 2 5 4 4 2" xfId="1421" xr:uid="{0283CC51-78B1-48A5-B3F3-ECFF390C497A}"/>
    <cellStyle name="Normal 3 2 5 4 5" xfId="623" xr:uid="{04126817-4230-428E-923D-E1EE7A47BC13}"/>
    <cellStyle name="Normal 3 2 5 4 5 2" xfId="1553" xr:uid="{F14FB3C7-196C-4C01-97F2-A0C5A39DEC89}"/>
    <cellStyle name="Normal 3 2 5 4 6" xfId="755" xr:uid="{1CE41FF7-E330-4E2A-8316-4D82BDEFB785}"/>
    <cellStyle name="Normal 3 2 5 4 6 2" xfId="1685" xr:uid="{64F8783B-7530-4DAF-85FC-5FEFB16193B2}"/>
    <cellStyle name="Normal 3 2 5 4 7" xfId="887" xr:uid="{8BE6EAB6-84E9-4EA5-973E-9C34497002BC}"/>
    <cellStyle name="Normal 3 2 5 4 7 2" xfId="1817" xr:uid="{5F3917C2-8B7F-498E-A99E-08D0063A5E4B}"/>
    <cellStyle name="Normal 3 2 5 4 8" xfId="1023" xr:uid="{5D1183E9-42F2-4F21-B998-A29560694B90}"/>
    <cellStyle name="Normal 3 2 5 5" xfId="161" xr:uid="{12C07E31-107B-485F-9871-10E4EFB97AB9}"/>
    <cellStyle name="Normal 3 2 5 5 2" xfId="1091" xr:uid="{EB6B6847-2B78-43EF-8096-A03730D3534B}"/>
    <cellStyle name="Normal 3 2 5 6" xfId="295" xr:uid="{0BDC17B4-E7F0-4A20-9DBA-CF94EDC322F6}"/>
    <cellStyle name="Normal 3 2 5 6 2" xfId="1225" xr:uid="{635EFC90-2970-4E3F-A161-E9A9CFE2CB60}"/>
    <cellStyle name="Normal 3 2 5 7" xfId="427" xr:uid="{A0F35C58-273B-489F-A76B-055C4FAD8B10}"/>
    <cellStyle name="Normal 3 2 5 7 2" xfId="1357" xr:uid="{14252A7B-F08A-44A0-ABFE-E09720D0297B}"/>
    <cellStyle name="Normal 3 2 5 8" xfId="559" xr:uid="{477A0EEC-CBE6-4A26-AAAF-B4316DBEE7AD}"/>
    <cellStyle name="Normal 3 2 5 8 2" xfId="1489" xr:uid="{3DF78EA6-AF2B-454D-8C27-47B657478694}"/>
    <cellStyle name="Normal 3 2 5 9" xfId="691" xr:uid="{2E8B80B8-84FF-4681-968A-47F827D947A9}"/>
    <cellStyle name="Normal 3 2 5 9 2" xfId="1621" xr:uid="{2FEF23F8-1156-4ED7-A531-D10CF9486D5C}"/>
    <cellStyle name="Normal 3 2 6" xfId="33" xr:uid="{00000000-0005-0000-0000-000017000000}"/>
    <cellStyle name="Normal 3 2 6 10" xfId="963" xr:uid="{03A711AF-0B2C-4B8F-9A12-9A6B36D0AB52}"/>
    <cellStyle name="Normal 3 2 6 2" xfId="65" xr:uid="{00000000-0005-0000-0000-000017000000}"/>
    <cellStyle name="Normal 3 2 6 2 2" xfId="129" xr:uid="{B05AA127-6172-4624-9649-8E27B95C99B0}"/>
    <cellStyle name="Normal 3 2 6 2 2 2" xfId="263" xr:uid="{7A76C654-6822-4304-B102-F14C474CCDCC}"/>
    <cellStyle name="Normal 3 2 6 2 2 2 2" xfId="1193" xr:uid="{EA7284DD-BB25-4C78-A190-BD0B051B3D1B}"/>
    <cellStyle name="Normal 3 2 6 2 2 3" xfId="395" xr:uid="{0B1C4746-3D30-42B8-83C5-A55F6BCF45B9}"/>
    <cellStyle name="Normal 3 2 6 2 2 3 2" xfId="1325" xr:uid="{A7E96F13-A745-4CC2-8A2A-B582F1B928C7}"/>
    <cellStyle name="Normal 3 2 6 2 2 4" xfId="527" xr:uid="{BEC29E0E-8A4A-48B9-A530-1D4215606286}"/>
    <cellStyle name="Normal 3 2 6 2 2 4 2" xfId="1457" xr:uid="{18676EDB-6342-44EE-BFDA-29E0183D500B}"/>
    <cellStyle name="Normal 3 2 6 2 2 5" xfId="659" xr:uid="{AEDCBAD6-AE6C-4C6A-8443-B1F57F946F69}"/>
    <cellStyle name="Normal 3 2 6 2 2 5 2" xfId="1589" xr:uid="{26FA14C9-7F1F-40CB-B673-C7B85EC72133}"/>
    <cellStyle name="Normal 3 2 6 2 2 6" xfId="791" xr:uid="{B404A69D-77F8-4F8C-A027-C61D7D55F353}"/>
    <cellStyle name="Normal 3 2 6 2 2 6 2" xfId="1721" xr:uid="{5EFF92FB-89EC-4ADD-B75E-4FF670B44F51}"/>
    <cellStyle name="Normal 3 2 6 2 2 7" xfId="923" xr:uid="{1927B7A6-B725-4DB2-BF1B-9CAF6DBBBD47}"/>
    <cellStyle name="Normal 3 2 6 2 2 7 2" xfId="1853" xr:uid="{F8D78BBF-0579-499C-9938-A365FBAF484D}"/>
    <cellStyle name="Normal 3 2 6 2 2 8" xfId="1059" xr:uid="{AD0E9487-3BDE-4A8D-B09F-FFC26416D119}"/>
    <cellStyle name="Normal 3 2 6 2 3" xfId="199" xr:uid="{59890965-BF73-4866-AA1D-DFF1B07344AC}"/>
    <cellStyle name="Normal 3 2 6 2 3 2" xfId="1129" xr:uid="{B7796C1B-94A3-424A-B62C-DF41484BA1C3}"/>
    <cellStyle name="Normal 3 2 6 2 4" xfId="331" xr:uid="{6D07AB45-40D8-4095-A66A-F9682574F0B7}"/>
    <cellStyle name="Normal 3 2 6 2 4 2" xfId="1261" xr:uid="{D739FCF1-AE4E-4C2F-8FA1-8311B6874554}"/>
    <cellStyle name="Normal 3 2 6 2 5" xfId="463" xr:uid="{45792854-D5CA-4AC2-8176-F149FE8C6EF2}"/>
    <cellStyle name="Normal 3 2 6 2 5 2" xfId="1393" xr:uid="{EB35BFAF-8A1E-4B6C-AB23-A1C4DCE5A873}"/>
    <cellStyle name="Normal 3 2 6 2 6" xfId="595" xr:uid="{ED13971C-E64E-49D9-AD71-FC26F1F4583F}"/>
    <cellStyle name="Normal 3 2 6 2 6 2" xfId="1525" xr:uid="{46A0435A-CD4F-4204-92AE-2451157A6658}"/>
    <cellStyle name="Normal 3 2 6 2 7" xfId="727" xr:uid="{36C24938-6F36-486B-8B9A-A069F71F9998}"/>
    <cellStyle name="Normal 3 2 6 2 7 2" xfId="1657" xr:uid="{9C3A3C3E-7976-4B50-BB6B-93D493FFB746}"/>
    <cellStyle name="Normal 3 2 6 2 8" xfId="859" xr:uid="{74933187-FA0F-43BD-B5F2-F6F871677E74}"/>
    <cellStyle name="Normal 3 2 6 2 8 2" xfId="1789" xr:uid="{7966BF06-DB4A-41D5-93FD-E028A4E85D13}"/>
    <cellStyle name="Normal 3 2 6 2 9" xfId="995" xr:uid="{C81FD20C-A701-4ADD-9D94-6933DF605BEF}"/>
    <cellStyle name="Normal 3 2 6 3" xfId="97" xr:uid="{CE3B8745-C0B8-4947-ADF4-73279A4DF06C}"/>
    <cellStyle name="Normal 3 2 6 3 2" xfId="231" xr:uid="{B879E307-3F99-4AB5-95FC-D637FCBA3F64}"/>
    <cellStyle name="Normal 3 2 6 3 2 2" xfId="1161" xr:uid="{43B6B1E4-963B-43BB-BA88-6998013898BB}"/>
    <cellStyle name="Normal 3 2 6 3 3" xfId="363" xr:uid="{ADDD16B8-4089-4B55-B9A3-3D92C7846969}"/>
    <cellStyle name="Normal 3 2 6 3 3 2" xfId="1293" xr:uid="{20DBC83A-5EAB-4E29-8FC5-912C6AAD2E16}"/>
    <cellStyle name="Normal 3 2 6 3 4" xfId="495" xr:uid="{F391A991-C2FE-49D6-9D1A-C8413DA1B02E}"/>
    <cellStyle name="Normal 3 2 6 3 4 2" xfId="1425" xr:uid="{5DF3584A-16B0-4F97-BB9A-283E8BF935C6}"/>
    <cellStyle name="Normal 3 2 6 3 5" xfId="627" xr:uid="{5E4A0890-1D0F-4E31-A978-2417601B4C3D}"/>
    <cellStyle name="Normal 3 2 6 3 5 2" xfId="1557" xr:uid="{07FA0B25-A2A5-4777-AB38-00A099AD3DF3}"/>
    <cellStyle name="Normal 3 2 6 3 6" xfId="759" xr:uid="{D2ECF3F8-E4FB-43BA-97AE-D40408909269}"/>
    <cellStyle name="Normal 3 2 6 3 6 2" xfId="1689" xr:uid="{AD78CFEC-7B88-4377-A2CD-62CB12F7EBC4}"/>
    <cellStyle name="Normal 3 2 6 3 7" xfId="891" xr:uid="{A7F809A1-7D36-4BBB-A79C-856FBC136524}"/>
    <cellStyle name="Normal 3 2 6 3 7 2" xfId="1821" xr:uid="{8F1E79FC-CB21-40F9-B05B-D09380A78D01}"/>
    <cellStyle name="Normal 3 2 6 3 8" xfId="1027" xr:uid="{7DBC1152-43AE-4392-91A1-1E51595EF83F}"/>
    <cellStyle name="Normal 3 2 6 4" xfId="167" xr:uid="{0B623F8B-3FFB-4686-8E8C-9EE9DD27616D}"/>
    <cellStyle name="Normal 3 2 6 4 2" xfId="1097" xr:uid="{D5139961-2927-4603-9DFC-D1D66EC7573F}"/>
    <cellStyle name="Normal 3 2 6 5" xfId="299" xr:uid="{E9B30959-2CBF-4716-B679-E66E9EDF6293}"/>
    <cellStyle name="Normal 3 2 6 5 2" xfId="1229" xr:uid="{2BD9DF85-1FC9-4743-A798-390F4E53FC01}"/>
    <cellStyle name="Normal 3 2 6 6" xfId="431" xr:uid="{5F206380-D950-4A89-A4D8-F6ADC912B783}"/>
    <cellStyle name="Normal 3 2 6 6 2" xfId="1361" xr:uid="{2B458E80-C1F5-47BE-90F0-B957165E61F5}"/>
    <cellStyle name="Normal 3 2 6 7" xfId="563" xr:uid="{9F6B98A8-52A3-4BC4-9577-20DCC4F5B682}"/>
    <cellStyle name="Normal 3 2 6 7 2" xfId="1493" xr:uid="{B2B78332-CA66-4F8E-B366-DB6C8B014B7D}"/>
    <cellStyle name="Normal 3 2 6 8" xfId="695" xr:uid="{81691C1A-B88E-474C-B3A6-3A6F6F68796E}"/>
    <cellStyle name="Normal 3 2 6 8 2" xfId="1625" xr:uid="{D6056CCC-F93E-4945-91C2-C4B6F1E6BE95}"/>
    <cellStyle name="Normal 3 2 6 9" xfId="827" xr:uid="{3E64C823-6BEF-4BB6-990D-BE30CCD5D765}"/>
    <cellStyle name="Normal 3 2 6 9 2" xfId="1757" xr:uid="{60807C22-5E5D-49B3-91C7-1374894CC1BD}"/>
    <cellStyle name="Normal 3 2 7" xfId="49" xr:uid="{00000000-0005-0000-0000-00000E000000}"/>
    <cellStyle name="Normal 3 2 7 2" xfId="113" xr:uid="{24237AB1-550B-4B77-8470-2FCCAD450E67}"/>
    <cellStyle name="Normal 3 2 7 2 2" xfId="247" xr:uid="{0B826465-8538-4C26-8C71-1311B6F298B7}"/>
    <cellStyle name="Normal 3 2 7 2 2 2" xfId="1177" xr:uid="{AF964140-0FAB-47D8-8061-EB0C683F2A43}"/>
    <cellStyle name="Normal 3 2 7 2 3" xfId="379" xr:uid="{E4603E5A-AA4E-4034-9D9A-B3ECA0D3BFA5}"/>
    <cellStyle name="Normal 3 2 7 2 3 2" xfId="1309" xr:uid="{09C4269F-8AB7-441E-846B-5D50248EDE32}"/>
    <cellStyle name="Normal 3 2 7 2 4" xfId="511" xr:uid="{FE8734B3-B50C-4A48-B46F-C040286EE57C}"/>
    <cellStyle name="Normal 3 2 7 2 4 2" xfId="1441" xr:uid="{D88441C8-C147-4468-ABA3-BEE103944E9F}"/>
    <cellStyle name="Normal 3 2 7 2 5" xfId="643" xr:uid="{A83A4A0C-C7BB-45EC-B22B-7E06F4A576E2}"/>
    <cellStyle name="Normal 3 2 7 2 5 2" xfId="1573" xr:uid="{CD8DA897-267D-437E-A2FF-2CDB57B58CA0}"/>
    <cellStyle name="Normal 3 2 7 2 6" xfId="775" xr:uid="{2B9DD0D3-A605-47C3-9C57-ED77B547706B}"/>
    <cellStyle name="Normal 3 2 7 2 6 2" xfId="1705" xr:uid="{0335CC15-FBAF-4CC3-BB05-5E85BE641C1A}"/>
    <cellStyle name="Normal 3 2 7 2 7" xfId="907" xr:uid="{F79E20ED-0D0E-4A54-A927-B54269200D1E}"/>
    <cellStyle name="Normal 3 2 7 2 7 2" xfId="1837" xr:uid="{641427D3-BBD2-46B0-A689-F30D201DD631}"/>
    <cellStyle name="Normal 3 2 7 2 8" xfId="1043" xr:uid="{9F655F29-0488-4328-9A86-5FC544BD10E5}"/>
    <cellStyle name="Normal 3 2 7 3" xfId="183" xr:uid="{D4DE5855-63C1-4F9B-9E6F-3053C781A7DA}"/>
    <cellStyle name="Normal 3 2 7 3 2" xfId="1113" xr:uid="{AD52CE09-F1DC-498B-BA48-7362FFA4F926}"/>
    <cellStyle name="Normal 3 2 7 4" xfId="315" xr:uid="{3A9AA4A4-FF86-46DD-A9C5-9C7AE507463A}"/>
    <cellStyle name="Normal 3 2 7 4 2" xfId="1245" xr:uid="{3A12E6A0-6B7D-439F-B18D-0F569783B658}"/>
    <cellStyle name="Normal 3 2 7 5" xfId="447" xr:uid="{A8D5CE1C-DBFD-4337-BA6D-B8BD75C47389}"/>
    <cellStyle name="Normal 3 2 7 5 2" xfId="1377" xr:uid="{8E119628-386E-4A48-A507-8837C9CD50FC}"/>
    <cellStyle name="Normal 3 2 7 6" xfId="579" xr:uid="{C833EF3E-A757-4A8E-BA88-51D359411B18}"/>
    <cellStyle name="Normal 3 2 7 6 2" xfId="1509" xr:uid="{7DDB1838-9792-4A9B-AF69-50AF127EA81F}"/>
    <cellStyle name="Normal 3 2 7 7" xfId="711" xr:uid="{24CD9456-1060-44F3-AD31-AFA9DA3D0A8E}"/>
    <cellStyle name="Normal 3 2 7 7 2" xfId="1641" xr:uid="{1CCA8F8E-9B80-4E4E-BF02-490834F6729B}"/>
    <cellStyle name="Normal 3 2 7 8" xfId="843" xr:uid="{EDE95804-94F3-448E-9451-06CE1B2ED173}"/>
    <cellStyle name="Normal 3 2 7 8 2" xfId="1773" xr:uid="{269A1A4B-6B37-4256-B6B9-2B4F7447BD0B}"/>
    <cellStyle name="Normal 3 2 7 9" xfId="979" xr:uid="{1072891E-D68B-45D6-B274-8245174891C5}"/>
    <cellStyle name="Normal 3 2 8" xfId="81" xr:uid="{96340DEE-6939-448B-BD9F-31731F17581C}"/>
    <cellStyle name="Normal 3 2 8 2" xfId="215" xr:uid="{FEF00B55-A916-423C-AEDA-4F89B3B71E74}"/>
    <cellStyle name="Normal 3 2 8 2 2" xfId="1145" xr:uid="{A3FF8FDA-3F4F-4697-AD78-03772D0450B5}"/>
    <cellStyle name="Normal 3 2 8 3" xfId="347" xr:uid="{10EC2514-F4A0-4A3D-9817-11FBC8D8CBEB}"/>
    <cellStyle name="Normal 3 2 8 3 2" xfId="1277" xr:uid="{891647B7-0DE7-419E-A6ED-6E0D6C42FB93}"/>
    <cellStyle name="Normal 3 2 8 4" xfId="479" xr:uid="{D269316C-BAC9-4ECB-8F27-A239AC2B485C}"/>
    <cellStyle name="Normal 3 2 8 4 2" xfId="1409" xr:uid="{7675E286-EB65-44AB-A71C-78C7F646410C}"/>
    <cellStyle name="Normal 3 2 8 5" xfId="611" xr:uid="{762A55DA-5C2E-44B7-8D2B-F66911019877}"/>
    <cellStyle name="Normal 3 2 8 5 2" xfId="1541" xr:uid="{231E7D84-309E-4045-95E7-98E0589281C0}"/>
    <cellStyle name="Normal 3 2 8 6" xfId="743" xr:uid="{1CBDEC0C-B72D-4460-926A-A4C30330ABB6}"/>
    <cellStyle name="Normal 3 2 8 6 2" xfId="1673" xr:uid="{B405684B-0C86-4707-8FCD-67B3F274EB5B}"/>
    <cellStyle name="Normal 3 2 8 7" xfId="875" xr:uid="{C20AE969-0DEE-49E8-836E-66B4AD9577D4}"/>
    <cellStyle name="Normal 3 2 8 7 2" xfId="1805" xr:uid="{B530C4FF-EFFD-433B-85F9-8ECD9CA0B735}"/>
    <cellStyle name="Normal 3 2 8 8" xfId="1011" xr:uid="{FF151531-3BB9-4FA6-A083-4C65DE8B28FA}"/>
    <cellStyle name="Normal 3 2 9" xfId="149" xr:uid="{EB4B1FAC-0C9F-494C-95B7-D2ABC2BE5137}"/>
    <cellStyle name="Normal 3 2 9 2" xfId="1079" xr:uid="{A4B7895D-9995-423F-82DE-AB58C37DB9FF}"/>
    <cellStyle name="Normal 3 3" xfId="16" xr:uid="{00000000-0005-0000-0000-000018000000}"/>
    <cellStyle name="Normal 3 3 10" xfId="812" xr:uid="{5C09190F-F0BD-4273-A617-37E8FF3E9287}"/>
    <cellStyle name="Normal 3 3 10 2" xfId="1742" xr:uid="{2FAFDB7F-1C6A-460A-8F39-E29140D5E3E7}"/>
    <cellStyle name="Normal 3 3 11" xfId="948" xr:uid="{1753884C-F60C-4250-82C9-E65C71399E34}"/>
    <cellStyle name="Normal 3 3 2" xfId="34" xr:uid="{00000000-0005-0000-0000-000019000000}"/>
    <cellStyle name="Normal 3 3 2 10" xfId="964" xr:uid="{634FCD5F-A28D-4D61-8462-0E16C776B2C5}"/>
    <cellStyle name="Normal 3 3 2 2" xfId="66" xr:uid="{00000000-0005-0000-0000-000019000000}"/>
    <cellStyle name="Normal 3 3 2 2 2" xfId="130" xr:uid="{B672922E-EB31-4C98-992F-278D2CE2F7BF}"/>
    <cellStyle name="Normal 3 3 2 2 2 2" xfId="264" xr:uid="{CC68975C-C876-4B97-BB2C-04C377EC29E5}"/>
    <cellStyle name="Normal 3 3 2 2 2 2 2" xfId="1194" xr:uid="{7EFD81F7-4FB8-44CE-A646-212C1E598D9D}"/>
    <cellStyle name="Normal 3 3 2 2 2 3" xfId="396" xr:uid="{E754871A-724E-4E8D-981C-2E8FEC2D75AC}"/>
    <cellStyle name="Normal 3 3 2 2 2 3 2" xfId="1326" xr:uid="{ED3F1766-5F9A-4A04-B94F-5A56F78F04D9}"/>
    <cellStyle name="Normal 3 3 2 2 2 4" xfId="528" xr:uid="{3A61EE46-E226-4F6D-92C8-ACE232042D0A}"/>
    <cellStyle name="Normal 3 3 2 2 2 4 2" xfId="1458" xr:uid="{3F06AFE9-ECFE-4C99-B5FE-9DD1B9F27BD2}"/>
    <cellStyle name="Normal 3 3 2 2 2 5" xfId="660" xr:uid="{A273333D-7900-4562-8229-B148986503C3}"/>
    <cellStyle name="Normal 3 3 2 2 2 5 2" xfId="1590" xr:uid="{ADD690B8-A029-4E1C-B079-D36E93188DD2}"/>
    <cellStyle name="Normal 3 3 2 2 2 6" xfId="792" xr:uid="{BC7777F6-5242-45D2-B5AE-BBEAB7D3DD11}"/>
    <cellStyle name="Normal 3 3 2 2 2 6 2" xfId="1722" xr:uid="{8EB60BDE-4EB8-4D46-8FFC-CDA0196C390B}"/>
    <cellStyle name="Normal 3 3 2 2 2 7" xfId="924" xr:uid="{2DBF4EEF-B018-48A4-95EC-1BEA66F9051C}"/>
    <cellStyle name="Normal 3 3 2 2 2 7 2" xfId="1854" xr:uid="{F460458F-6269-41AD-B1EB-F0E82CABC398}"/>
    <cellStyle name="Normal 3 3 2 2 2 8" xfId="1060" xr:uid="{06C40C9E-CA12-4456-B7C3-8B8184A8FC30}"/>
    <cellStyle name="Normal 3 3 2 2 3" xfId="200" xr:uid="{04F57CAA-9DD2-47A9-8C44-B1CF52A7B145}"/>
    <cellStyle name="Normal 3 3 2 2 3 2" xfId="1130" xr:uid="{8E19C16C-06D9-437E-8D58-1A4C5B6A3401}"/>
    <cellStyle name="Normal 3 3 2 2 4" xfId="332" xr:uid="{8B10186A-599A-4982-ADD7-A31F1EC1B814}"/>
    <cellStyle name="Normal 3 3 2 2 4 2" xfId="1262" xr:uid="{0FFB01D3-B9A4-4AC6-B14B-51BD38705F55}"/>
    <cellStyle name="Normal 3 3 2 2 5" xfId="464" xr:uid="{45786997-9936-461F-BDAA-3064629A7D59}"/>
    <cellStyle name="Normal 3 3 2 2 5 2" xfId="1394" xr:uid="{30D9656B-749E-4BAE-905A-6805FE11C814}"/>
    <cellStyle name="Normal 3 3 2 2 6" xfId="596" xr:uid="{634A63AE-983E-40B2-AFF3-26AE55566794}"/>
    <cellStyle name="Normal 3 3 2 2 6 2" xfId="1526" xr:uid="{0583CFCE-AB81-4D0E-B2FF-5505FD4440AA}"/>
    <cellStyle name="Normal 3 3 2 2 7" xfId="728" xr:uid="{391E09FC-129A-4E19-AD4C-BCDD4F057BBB}"/>
    <cellStyle name="Normal 3 3 2 2 7 2" xfId="1658" xr:uid="{4A57B89F-2AEB-45C6-9776-16A9E06802BF}"/>
    <cellStyle name="Normal 3 3 2 2 8" xfId="860" xr:uid="{5BF4A879-586A-4B58-8571-9C724F0C6A7D}"/>
    <cellStyle name="Normal 3 3 2 2 8 2" xfId="1790" xr:uid="{9F65975F-E816-42DE-852F-AB1D7AB9F2EB}"/>
    <cellStyle name="Normal 3 3 2 2 9" xfId="996" xr:uid="{F6FFAC9F-63CA-46ED-A05D-B44E16275FF4}"/>
    <cellStyle name="Normal 3 3 2 3" xfId="98" xr:uid="{B2BB317F-2781-44D8-A5D9-FBC33480C2A4}"/>
    <cellStyle name="Normal 3 3 2 3 2" xfId="232" xr:uid="{7732BC1A-9E59-4898-85E6-DDEB8F18D68D}"/>
    <cellStyle name="Normal 3 3 2 3 2 2" xfId="1162" xr:uid="{CA8CEA95-D0D5-4091-AAC3-CE37838CC544}"/>
    <cellStyle name="Normal 3 3 2 3 3" xfId="364" xr:uid="{C345FEA5-D634-43E4-8545-D15209901534}"/>
    <cellStyle name="Normal 3 3 2 3 3 2" xfId="1294" xr:uid="{A849F254-5F76-48A6-BB3F-CBFA699673D6}"/>
    <cellStyle name="Normal 3 3 2 3 4" xfId="496" xr:uid="{3C9B46D2-EE62-4066-B6F6-E4D63EDB5436}"/>
    <cellStyle name="Normal 3 3 2 3 4 2" xfId="1426" xr:uid="{BA1EC6A2-5241-4C9F-AC0F-13E8735ED002}"/>
    <cellStyle name="Normal 3 3 2 3 5" xfId="628" xr:uid="{9ED19B93-3594-4064-AFF2-35221CCE8C78}"/>
    <cellStyle name="Normal 3 3 2 3 5 2" xfId="1558" xr:uid="{AC60174A-B794-4A31-B47A-8ECF31940345}"/>
    <cellStyle name="Normal 3 3 2 3 6" xfId="760" xr:uid="{995408CF-F28E-416F-8587-2254FEA83A0C}"/>
    <cellStyle name="Normal 3 3 2 3 6 2" xfId="1690" xr:uid="{48ADE1EE-0C8A-4388-B21B-AD9554B5EF6C}"/>
    <cellStyle name="Normal 3 3 2 3 7" xfId="892" xr:uid="{191572E5-E5FC-49CF-AEB3-D3CA375F817E}"/>
    <cellStyle name="Normal 3 3 2 3 7 2" xfId="1822" xr:uid="{48A0DA1F-656F-4AAA-AB79-6F8BDE9DBB4B}"/>
    <cellStyle name="Normal 3 3 2 3 8" xfId="1028" xr:uid="{D1DF945C-6B07-4789-ADCF-882AECE91124}"/>
    <cellStyle name="Normal 3 3 2 4" xfId="168" xr:uid="{2A19E7F7-FE28-42F3-B4BF-77615347C444}"/>
    <cellStyle name="Normal 3 3 2 4 2" xfId="1098" xr:uid="{3F04FD74-4AC8-4040-AB74-E06BF675FFD5}"/>
    <cellStyle name="Normal 3 3 2 5" xfId="300" xr:uid="{AD1399BA-3CFE-4881-A782-AF953F49A7EB}"/>
    <cellStyle name="Normal 3 3 2 5 2" xfId="1230" xr:uid="{6968C932-E648-47DE-A8F5-39854ACB6E66}"/>
    <cellStyle name="Normal 3 3 2 6" xfId="432" xr:uid="{F1010560-79FD-437F-8CA4-4A4B43AC625A}"/>
    <cellStyle name="Normal 3 3 2 6 2" xfId="1362" xr:uid="{47792E6F-79B3-4D5A-957F-5460955EBE0B}"/>
    <cellStyle name="Normal 3 3 2 7" xfId="564" xr:uid="{7F1CA8EF-AFC7-4780-9752-E6A0784B52B9}"/>
    <cellStyle name="Normal 3 3 2 7 2" xfId="1494" xr:uid="{75D42EB2-7FC8-48BF-B264-1D28753711B7}"/>
    <cellStyle name="Normal 3 3 2 8" xfId="696" xr:uid="{2FAA8BA8-FDCD-43B4-8D52-B1E7D45E49E3}"/>
    <cellStyle name="Normal 3 3 2 8 2" xfId="1626" xr:uid="{0DDB7396-B1F8-429F-AE93-8ADC869C7EF8}"/>
    <cellStyle name="Normal 3 3 2 9" xfId="828" xr:uid="{1387D34A-379A-4A84-8638-8ABC871F1875}"/>
    <cellStyle name="Normal 3 3 2 9 2" xfId="1758" xr:uid="{64023477-0667-4660-AD90-80EE29FC94D7}"/>
    <cellStyle name="Normal 3 3 3" xfId="50" xr:uid="{00000000-0005-0000-0000-000018000000}"/>
    <cellStyle name="Normal 3 3 3 2" xfId="114" xr:uid="{3AE9020F-CA84-4DC1-A042-0F6DC12C358C}"/>
    <cellStyle name="Normal 3 3 3 2 2" xfId="248" xr:uid="{4BEE2D93-9D44-4948-BC04-940DCC31DC88}"/>
    <cellStyle name="Normal 3 3 3 2 2 2" xfId="1178" xr:uid="{97470E98-E831-4D33-BD3C-A09D513F6FE8}"/>
    <cellStyle name="Normal 3 3 3 2 3" xfId="380" xr:uid="{CAAA6300-910C-4BF2-A5AF-E7DF66771A17}"/>
    <cellStyle name="Normal 3 3 3 2 3 2" xfId="1310" xr:uid="{E55FD45C-F014-4623-B544-0C4C1471243B}"/>
    <cellStyle name="Normal 3 3 3 2 4" xfId="512" xr:uid="{5A1DA904-E57B-411D-8B36-3688D82126F1}"/>
    <cellStyle name="Normal 3 3 3 2 4 2" xfId="1442" xr:uid="{11D2A2E7-EFD0-41AD-B5CD-39D1A94F2ADE}"/>
    <cellStyle name="Normal 3 3 3 2 5" xfId="644" xr:uid="{770C32C4-8111-48CC-AEFD-3EFDACDC8A9C}"/>
    <cellStyle name="Normal 3 3 3 2 5 2" xfId="1574" xr:uid="{69204E9E-F0AF-4354-A8E0-E4ED258D0C92}"/>
    <cellStyle name="Normal 3 3 3 2 6" xfId="776" xr:uid="{72334AE2-B0B6-4168-A80E-0188D0DB2EE0}"/>
    <cellStyle name="Normal 3 3 3 2 6 2" xfId="1706" xr:uid="{790630AB-ACF5-4C76-941C-CD143777573F}"/>
    <cellStyle name="Normal 3 3 3 2 7" xfId="908" xr:uid="{3ADBA13B-3DD8-4892-B2F6-EB3030C1B031}"/>
    <cellStyle name="Normal 3 3 3 2 7 2" xfId="1838" xr:uid="{1B0C3E95-7D80-448C-B513-6389ADCB7832}"/>
    <cellStyle name="Normal 3 3 3 2 8" xfId="1044" xr:uid="{1535E542-E485-4F21-AEF7-4E067B6D43A0}"/>
    <cellStyle name="Normal 3 3 3 3" xfId="184" xr:uid="{4581587E-AEE1-4222-94B7-A2981526038E}"/>
    <cellStyle name="Normal 3 3 3 3 2" xfId="1114" xr:uid="{9720AA23-2D6D-40F4-8409-F2EC8170E60D}"/>
    <cellStyle name="Normal 3 3 3 4" xfId="316" xr:uid="{BA42D957-6C46-46DC-AAC4-1C3C07694C40}"/>
    <cellStyle name="Normal 3 3 3 4 2" xfId="1246" xr:uid="{D1721AEC-1B67-43C8-B2A8-48D71A5A05AB}"/>
    <cellStyle name="Normal 3 3 3 5" xfId="448" xr:uid="{6B0892BE-A3A7-4358-B2F2-4DA9D1057B39}"/>
    <cellStyle name="Normal 3 3 3 5 2" xfId="1378" xr:uid="{B4905F4F-B565-4D44-8AED-2F8BB0ABA587}"/>
    <cellStyle name="Normal 3 3 3 6" xfId="580" xr:uid="{5DC5C6FE-50F9-445E-A39F-BBA27B9C82D6}"/>
    <cellStyle name="Normal 3 3 3 6 2" xfId="1510" xr:uid="{3267C158-969F-4B5E-945B-2AAB49F2A63F}"/>
    <cellStyle name="Normal 3 3 3 7" xfId="712" xr:uid="{A4B244B7-B351-4690-9C51-B14C6DFF9C18}"/>
    <cellStyle name="Normal 3 3 3 7 2" xfId="1642" xr:uid="{3F08A2B9-D7F3-4D20-B485-B2029C9090DF}"/>
    <cellStyle name="Normal 3 3 3 8" xfId="844" xr:uid="{82A0ACA4-DC1A-43F7-BB2E-D25DBDD1982F}"/>
    <cellStyle name="Normal 3 3 3 8 2" xfId="1774" xr:uid="{ED3E3182-0905-4C39-99AE-4972D529400D}"/>
    <cellStyle name="Normal 3 3 3 9" xfId="980" xr:uid="{55AD1EAB-46D7-43A3-8DCF-45D57701C2BD}"/>
    <cellStyle name="Normal 3 3 4" xfId="82" xr:uid="{23DA2548-C433-4376-8168-856D15977067}"/>
    <cellStyle name="Normal 3 3 4 2" xfId="216" xr:uid="{99321FAC-D905-4C0F-AA51-A3E94009B209}"/>
    <cellStyle name="Normal 3 3 4 2 2" xfId="1146" xr:uid="{D340E81E-95C4-4CF1-9049-1D3AE4DAFE6D}"/>
    <cellStyle name="Normal 3 3 4 3" xfId="348" xr:uid="{1135F85A-2A57-4035-B689-43BB843AC868}"/>
    <cellStyle name="Normal 3 3 4 3 2" xfId="1278" xr:uid="{535B436A-9B71-450E-84AB-046614981B86}"/>
    <cellStyle name="Normal 3 3 4 4" xfId="480" xr:uid="{FDACB58C-4683-4A58-B081-F2035F5D9018}"/>
    <cellStyle name="Normal 3 3 4 4 2" xfId="1410" xr:uid="{C03A5B0F-F58E-45BD-8E8A-87630F13656D}"/>
    <cellStyle name="Normal 3 3 4 5" xfId="612" xr:uid="{F2A1EED0-C781-4E80-A837-49CD72BDF55B}"/>
    <cellStyle name="Normal 3 3 4 5 2" xfId="1542" xr:uid="{593C0A39-62DB-441C-A055-4E429E9888BE}"/>
    <cellStyle name="Normal 3 3 4 6" xfId="744" xr:uid="{F4A5A4C3-0B5D-4F72-A1B5-B1E1E0B55BAF}"/>
    <cellStyle name="Normal 3 3 4 6 2" xfId="1674" xr:uid="{A21D9B8D-49FA-4735-8964-5BDB05CC00C2}"/>
    <cellStyle name="Normal 3 3 4 7" xfId="876" xr:uid="{CACCE830-5329-4E8C-B02A-F3873B586174}"/>
    <cellStyle name="Normal 3 3 4 7 2" xfId="1806" xr:uid="{0E22060B-64E7-48D4-A617-81D99B79B106}"/>
    <cellStyle name="Normal 3 3 4 8" xfId="1012" xr:uid="{1ACAD748-1F7D-40D1-92F0-D3C20AFEF2E9}"/>
    <cellStyle name="Normal 3 3 5" xfId="150" xr:uid="{40A4A437-6FD2-4086-9EE4-F1C7171BADB2}"/>
    <cellStyle name="Normal 3 3 5 2" xfId="1080" xr:uid="{FE671CF5-D593-47AA-8CE5-484C0A807F56}"/>
    <cellStyle name="Normal 3 3 6" xfId="284" xr:uid="{37453C6B-FA74-494E-B773-46B693E59328}"/>
    <cellStyle name="Normal 3 3 6 2" xfId="1214" xr:uid="{3A7056CC-025D-4F8D-91DF-7EC7CB079A76}"/>
    <cellStyle name="Normal 3 3 7" xfId="416" xr:uid="{BF5810C8-725C-4187-A94F-ABDBCE3A3082}"/>
    <cellStyle name="Normal 3 3 7 2" xfId="1346" xr:uid="{6A146452-F5FE-4F90-BA5B-C1EC71C17F98}"/>
    <cellStyle name="Normal 3 3 8" xfId="548" xr:uid="{27DFCB10-FFE1-4517-944B-22D123B78126}"/>
    <cellStyle name="Normal 3 3 8 2" xfId="1478" xr:uid="{F2A33293-E747-4C1F-8EA1-F66EC8B483B2}"/>
    <cellStyle name="Normal 3 3 9" xfId="680" xr:uid="{EB333D88-C4AE-4709-A390-853C77AF5620}"/>
    <cellStyle name="Normal 3 3 9 2" xfId="1610" xr:uid="{7A7B8814-7D1A-4D15-8CF9-CF160441E74B}"/>
    <cellStyle name="Normal 3 4" xfId="19" xr:uid="{00000000-0005-0000-0000-00001A000000}"/>
    <cellStyle name="Normal 3 4 10" xfId="815" xr:uid="{C2026C26-1C5A-4BBD-860B-6685BBD3A83D}"/>
    <cellStyle name="Normal 3 4 10 2" xfId="1745" xr:uid="{E0CECAE6-31FB-4FB1-B959-5D53461CDEB4}"/>
    <cellStyle name="Normal 3 4 11" xfId="951" xr:uid="{032A564F-A830-46C0-82C0-0B6477684A96}"/>
    <cellStyle name="Normal 3 4 2" xfId="37" xr:uid="{00000000-0005-0000-0000-00001B000000}"/>
    <cellStyle name="Normal 3 4 2 10" xfId="967" xr:uid="{76013A13-AFFC-4B3F-9711-E4FE2F44C81C}"/>
    <cellStyle name="Normal 3 4 2 2" xfId="69" xr:uid="{00000000-0005-0000-0000-00001B000000}"/>
    <cellStyle name="Normal 3 4 2 2 2" xfId="133" xr:uid="{184E6697-AC47-4601-B82D-A188FC5445F1}"/>
    <cellStyle name="Normal 3 4 2 2 2 2" xfId="267" xr:uid="{AB071FCD-75FE-499D-9BF1-8FCE70315496}"/>
    <cellStyle name="Normal 3 4 2 2 2 2 2" xfId="1197" xr:uid="{FB274488-7D81-42F6-98B4-80CAF027DE6E}"/>
    <cellStyle name="Normal 3 4 2 2 2 3" xfId="399" xr:uid="{BAB3848D-41ED-41B0-83B6-4C2E6DE41C5E}"/>
    <cellStyle name="Normal 3 4 2 2 2 3 2" xfId="1329" xr:uid="{1EE4AB54-4685-41B1-B2DC-0D7A12AB46A4}"/>
    <cellStyle name="Normal 3 4 2 2 2 4" xfId="531" xr:uid="{37308E01-9CA6-4483-80AE-AE8D364DDA8F}"/>
    <cellStyle name="Normal 3 4 2 2 2 4 2" xfId="1461" xr:uid="{DC39A3A9-9D59-46D6-8A51-D94E8D5DD8B8}"/>
    <cellStyle name="Normal 3 4 2 2 2 5" xfId="663" xr:uid="{22927339-5537-4D2A-ACF4-3BE06BFC360D}"/>
    <cellStyle name="Normal 3 4 2 2 2 5 2" xfId="1593" xr:uid="{E5D19F7C-245F-4273-8F1D-D3E93958A48D}"/>
    <cellStyle name="Normal 3 4 2 2 2 6" xfId="795" xr:uid="{F0D90961-1ACD-4D0A-93CA-39287819EC71}"/>
    <cellStyle name="Normal 3 4 2 2 2 6 2" xfId="1725" xr:uid="{B7A0CEE3-607C-4E9A-9EC1-C917FD62AB1D}"/>
    <cellStyle name="Normal 3 4 2 2 2 7" xfId="927" xr:uid="{1D2DB297-C4B1-406B-BBB4-8C4BD085C8DF}"/>
    <cellStyle name="Normal 3 4 2 2 2 7 2" xfId="1857" xr:uid="{C01D6803-E782-4A3E-B63E-C93AA1940EEC}"/>
    <cellStyle name="Normal 3 4 2 2 2 8" xfId="1063" xr:uid="{34D4A71E-0F29-4B5C-A1D7-3BF89D58D407}"/>
    <cellStyle name="Normal 3 4 2 2 3" xfId="203" xr:uid="{61322DA7-3EF2-4535-92E5-002993FCA40D}"/>
    <cellStyle name="Normal 3 4 2 2 3 2" xfId="1133" xr:uid="{3B99DDE6-491F-4BA8-8B51-D6689DC53856}"/>
    <cellStyle name="Normal 3 4 2 2 4" xfId="335" xr:uid="{D77A445F-9ADD-40FD-B1AF-37A41F7B0DA4}"/>
    <cellStyle name="Normal 3 4 2 2 4 2" xfId="1265" xr:uid="{6F0CF001-D471-4922-8659-653DED7CE691}"/>
    <cellStyle name="Normal 3 4 2 2 5" xfId="467" xr:uid="{966B2CE5-6399-4B6B-A64C-B1359FEF2394}"/>
    <cellStyle name="Normal 3 4 2 2 5 2" xfId="1397" xr:uid="{50DECE8F-E5D7-4F1E-8C77-D0D5C46D0AA1}"/>
    <cellStyle name="Normal 3 4 2 2 6" xfId="599" xr:uid="{8675EF8C-DC1F-4947-909C-BF2D2BD0B40B}"/>
    <cellStyle name="Normal 3 4 2 2 6 2" xfId="1529" xr:uid="{85AC5956-87B6-4623-9A73-91C731E9C80D}"/>
    <cellStyle name="Normal 3 4 2 2 7" xfId="731" xr:uid="{14391D1B-D3DD-450C-9CDE-3AB83011502C}"/>
    <cellStyle name="Normal 3 4 2 2 7 2" xfId="1661" xr:uid="{9239F729-3F54-4E07-A867-9017F5D341F4}"/>
    <cellStyle name="Normal 3 4 2 2 8" xfId="863" xr:uid="{2153C40C-9B0A-4898-9791-E4011550FAC0}"/>
    <cellStyle name="Normal 3 4 2 2 8 2" xfId="1793" xr:uid="{A31912DF-A2DD-4640-A260-6BE7D5A82E70}"/>
    <cellStyle name="Normal 3 4 2 2 9" xfId="999" xr:uid="{37173BDE-F752-43D5-827B-40D9CB0505E9}"/>
    <cellStyle name="Normal 3 4 2 3" xfId="101" xr:uid="{6AA0DA0B-ECE0-4F7C-98F5-E00DE2249850}"/>
    <cellStyle name="Normal 3 4 2 3 2" xfId="235" xr:uid="{B61703A9-CA8A-4DD2-AF09-9D0E1D202AFA}"/>
    <cellStyle name="Normal 3 4 2 3 2 2" xfId="1165" xr:uid="{889FEA24-AF63-44DD-B7D6-4F29406405B6}"/>
    <cellStyle name="Normal 3 4 2 3 3" xfId="367" xr:uid="{348F087C-E38D-4221-B97E-E53F44774961}"/>
    <cellStyle name="Normal 3 4 2 3 3 2" xfId="1297" xr:uid="{F2CDF6F6-6CD8-4B90-8625-5C70ADA489C1}"/>
    <cellStyle name="Normal 3 4 2 3 4" xfId="499" xr:uid="{04CEC770-9F55-4521-806D-53CBE8E40D64}"/>
    <cellStyle name="Normal 3 4 2 3 4 2" xfId="1429" xr:uid="{5C7E9428-8AFD-4122-9288-B242634C10DC}"/>
    <cellStyle name="Normal 3 4 2 3 5" xfId="631" xr:uid="{00DD37E2-B053-42C2-B430-726F07EB4D44}"/>
    <cellStyle name="Normal 3 4 2 3 5 2" xfId="1561" xr:uid="{4EE68B4F-BD61-4B1F-9E94-2CCF1BB7AAFD}"/>
    <cellStyle name="Normal 3 4 2 3 6" xfId="763" xr:uid="{C99C1BAD-1D4D-4816-9D4D-3A52A0819C44}"/>
    <cellStyle name="Normal 3 4 2 3 6 2" xfId="1693" xr:uid="{C9A31CFE-735F-448E-AA99-88AD4FF95685}"/>
    <cellStyle name="Normal 3 4 2 3 7" xfId="895" xr:uid="{EFBABADB-43D3-44DD-8D78-3D7D7AEB03DE}"/>
    <cellStyle name="Normal 3 4 2 3 7 2" xfId="1825" xr:uid="{655822F7-0E94-48A3-AA8E-098A992D9AA2}"/>
    <cellStyle name="Normal 3 4 2 3 8" xfId="1031" xr:uid="{4464B849-38BC-4197-A997-1D3FAF8ECB42}"/>
    <cellStyle name="Normal 3 4 2 4" xfId="171" xr:uid="{F1A0E190-438C-4B0A-861B-F0852D629936}"/>
    <cellStyle name="Normal 3 4 2 4 2" xfId="1101" xr:uid="{24DA8999-2B8B-4FE7-9DE1-D0F368AB69D6}"/>
    <cellStyle name="Normal 3 4 2 5" xfId="303" xr:uid="{810CC703-3E8A-4C5C-AD13-ACA29E297A2E}"/>
    <cellStyle name="Normal 3 4 2 5 2" xfId="1233" xr:uid="{1517F138-EAD1-487D-B804-36434055811E}"/>
    <cellStyle name="Normal 3 4 2 6" xfId="435" xr:uid="{E67F0738-CC48-4600-9474-5927432E438A}"/>
    <cellStyle name="Normal 3 4 2 6 2" xfId="1365" xr:uid="{32E25051-007E-41F8-9E96-74204A6585A2}"/>
    <cellStyle name="Normal 3 4 2 7" xfId="567" xr:uid="{3EC0FFF0-1EF0-457E-B174-00A4820C0F16}"/>
    <cellStyle name="Normal 3 4 2 7 2" xfId="1497" xr:uid="{C2AA3ECC-F4C1-43DA-B7A3-E754293D0679}"/>
    <cellStyle name="Normal 3 4 2 8" xfId="699" xr:uid="{CF845683-D92D-42EE-9F5D-744F25CFFF94}"/>
    <cellStyle name="Normal 3 4 2 8 2" xfId="1629" xr:uid="{5F72E23B-4897-458F-A0C6-10B0AFD438DB}"/>
    <cellStyle name="Normal 3 4 2 9" xfId="831" xr:uid="{4A6A9331-BBA1-4C50-97F4-077FCEEA00E6}"/>
    <cellStyle name="Normal 3 4 2 9 2" xfId="1761" xr:uid="{B4762BF8-F9FC-4F59-852D-7313058270D1}"/>
    <cellStyle name="Normal 3 4 3" xfId="53" xr:uid="{00000000-0005-0000-0000-00001A000000}"/>
    <cellStyle name="Normal 3 4 3 2" xfId="117" xr:uid="{AC6AC8D1-480B-4443-8EB2-48C8FA80C216}"/>
    <cellStyle name="Normal 3 4 3 2 2" xfId="251" xr:uid="{32EC2188-92CC-4400-ACBB-884DEF207AAF}"/>
    <cellStyle name="Normal 3 4 3 2 2 2" xfId="1181" xr:uid="{351C9ED9-9176-4912-A122-937D8A7D2D29}"/>
    <cellStyle name="Normal 3 4 3 2 3" xfId="383" xr:uid="{CB2C0D42-B0B1-4EA6-B11B-7B45E8D4E325}"/>
    <cellStyle name="Normal 3 4 3 2 3 2" xfId="1313" xr:uid="{F64B5AC8-DCBD-4D7D-A832-4A4BF69B8AFF}"/>
    <cellStyle name="Normal 3 4 3 2 4" xfId="515" xr:uid="{1CE88314-06D9-432D-A583-AA6D04D6F08B}"/>
    <cellStyle name="Normal 3 4 3 2 4 2" xfId="1445" xr:uid="{425F4689-4031-4DD1-8BAA-C9E5BE7E73D1}"/>
    <cellStyle name="Normal 3 4 3 2 5" xfId="647" xr:uid="{19880E79-A9D7-441D-B8EF-09C60E464DC3}"/>
    <cellStyle name="Normal 3 4 3 2 5 2" xfId="1577" xr:uid="{98CD49C5-AF0D-4662-BE0B-5D9652D493B9}"/>
    <cellStyle name="Normal 3 4 3 2 6" xfId="779" xr:uid="{27ECBC7D-B481-472D-BBB2-7A036775A205}"/>
    <cellStyle name="Normal 3 4 3 2 6 2" xfId="1709" xr:uid="{F4F6EA85-F88F-4667-B238-A465E3E724E2}"/>
    <cellStyle name="Normal 3 4 3 2 7" xfId="911" xr:uid="{19CD46B4-D335-4E13-AF70-A950F8564C9C}"/>
    <cellStyle name="Normal 3 4 3 2 7 2" xfId="1841" xr:uid="{7C4627CB-6995-4ABF-9B0A-DAE6304C396D}"/>
    <cellStyle name="Normal 3 4 3 2 8" xfId="1047" xr:uid="{20B19533-D661-43E1-B01C-78C748F868B6}"/>
    <cellStyle name="Normal 3 4 3 3" xfId="187" xr:uid="{6B1D0959-9801-49B1-B423-EACF990F1A5E}"/>
    <cellStyle name="Normal 3 4 3 3 2" xfId="1117" xr:uid="{9A82FCFD-27EA-4ECD-BD53-29258899E69B}"/>
    <cellStyle name="Normal 3 4 3 4" xfId="319" xr:uid="{85996CA7-0B56-42D7-B808-A2D7BA618FD5}"/>
    <cellStyle name="Normal 3 4 3 4 2" xfId="1249" xr:uid="{02BCBDB6-B7DC-46AF-B9B2-D8232D4CCD7D}"/>
    <cellStyle name="Normal 3 4 3 5" xfId="451" xr:uid="{5FCE2D84-9320-4C7E-B0B6-ACDFC35A7774}"/>
    <cellStyle name="Normal 3 4 3 5 2" xfId="1381" xr:uid="{0FC89846-9128-4EBF-9559-6792421916B8}"/>
    <cellStyle name="Normal 3 4 3 6" xfId="583" xr:uid="{3265D7BF-1A76-4B87-9602-15A59B33D261}"/>
    <cellStyle name="Normal 3 4 3 6 2" xfId="1513" xr:uid="{457AFC53-17F6-4CB3-88DE-AE59B2B443ED}"/>
    <cellStyle name="Normal 3 4 3 7" xfId="715" xr:uid="{1D93E86F-9E83-41E5-A07B-47D48F10E073}"/>
    <cellStyle name="Normal 3 4 3 7 2" xfId="1645" xr:uid="{7D6776EF-66F2-4478-AA91-E759C87C3C96}"/>
    <cellStyle name="Normal 3 4 3 8" xfId="847" xr:uid="{8E603CA2-0D58-4E1C-A185-8C9557B6B3B3}"/>
    <cellStyle name="Normal 3 4 3 8 2" xfId="1777" xr:uid="{E4E0AF1A-C24A-4EE0-87DF-E7E47CB6EB3D}"/>
    <cellStyle name="Normal 3 4 3 9" xfId="983" xr:uid="{352278CA-E17F-4E4F-9A51-7E1FBD2A6407}"/>
    <cellStyle name="Normal 3 4 4" xfId="85" xr:uid="{DA1055C2-7999-4B32-BC86-8155D872B623}"/>
    <cellStyle name="Normal 3 4 4 2" xfId="219" xr:uid="{DBEBEEFF-8E2E-40F8-A79B-9508E78D554D}"/>
    <cellStyle name="Normal 3 4 4 2 2" xfId="1149" xr:uid="{85221D6E-8798-4F4F-8987-6DB1DD2B6E69}"/>
    <cellStyle name="Normal 3 4 4 3" xfId="351" xr:uid="{619E0C49-BE0C-4F81-9737-860D803A917D}"/>
    <cellStyle name="Normal 3 4 4 3 2" xfId="1281" xr:uid="{08F5C610-C534-46CA-9745-161928DD326F}"/>
    <cellStyle name="Normal 3 4 4 4" xfId="483" xr:uid="{0DFED1E9-F5B3-46CF-A963-4A56C759A270}"/>
    <cellStyle name="Normal 3 4 4 4 2" xfId="1413" xr:uid="{7C739F43-D916-4F8D-AB02-1853AB189EC0}"/>
    <cellStyle name="Normal 3 4 4 5" xfId="615" xr:uid="{38899D55-D458-4448-8F54-583E0D4FAF4B}"/>
    <cellStyle name="Normal 3 4 4 5 2" xfId="1545" xr:uid="{75BC1F36-8091-4F62-AE3E-1D56BAA0AC4C}"/>
    <cellStyle name="Normal 3 4 4 6" xfId="747" xr:uid="{54ECE40F-19E8-4449-A4CC-4E60ADFC6BE2}"/>
    <cellStyle name="Normal 3 4 4 6 2" xfId="1677" xr:uid="{B80EA639-E3FF-45C5-B0B4-57EF5A618C03}"/>
    <cellStyle name="Normal 3 4 4 7" xfId="879" xr:uid="{A07F274B-33E3-447F-9E93-678EF0C23465}"/>
    <cellStyle name="Normal 3 4 4 7 2" xfId="1809" xr:uid="{0410DA9E-8614-4865-A2DB-95B2F2000E36}"/>
    <cellStyle name="Normal 3 4 4 8" xfId="1015" xr:uid="{D5AC35D6-7639-4035-88FF-D124E11942FD}"/>
    <cellStyle name="Normal 3 4 5" xfId="153" xr:uid="{FADF734E-3ECA-4871-AAAF-587325E681A3}"/>
    <cellStyle name="Normal 3 4 5 2" xfId="1083" xr:uid="{C0BDBC5E-A378-4D5E-BD9F-64EFCBBA9631}"/>
    <cellStyle name="Normal 3 4 6" xfId="287" xr:uid="{8DC82483-06CE-4DDB-966D-4855AC0FB6E0}"/>
    <cellStyle name="Normal 3 4 6 2" xfId="1217" xr:uid="{36E60676-9848-4E1B-9D3A-4E0BB7A38141}"/>
    <cellStyle name="Normal 3 4 7" xfId="419" xr:uid="{03B36497-1427-4211-899B-7D70EA4F96FC}"/>
    <cellStyle name="Normal 3 4 7 2" xfId="1349" xr:uid="{BAF8B441-D772-494F-880C-D4BB92F3643F}"/>
    <cellStyle name="Normal 3 4 8" xfId="551" xr:uid="{C2CF8AD9-D9DD-4ACE-AE9B-6CA6666F7946}"/>
    <cellStyle name="Normal 3 4 8 2" xfId="1481" xr:uid="{760D2176-DDB7-464E-AA7A-BC1DBB198337}"/>
    <cellStyle name="Normal 3 4 9" xfId="683" xr:uid="{E8319923-F4BE-4D2F-B16A-CD3B2B6748B5}"/>
    <cellStyle name="Normal 3 4 9 2" xfId="1613" xr:uid="{BD19C407-90B0-4417-BBFE-0DEDCC4C80A3}"/>
    <cellStyle name="Normal 3 5" xfId="22" xr:uid="{00000000-0005-0000-0000-00001C000000}"/>
    <cellStyle name="Normal 3 5 10" xfId="818" xr:uid="{F8A9A2E2-66A1-42D5-96EA-56298E5C461D}"/>
    <cellStyle name="Normal 3 5 10 2" xfId="1748" xr:uid="{8D3FF88D-C687-49F8-BB07-0241EE6E27AB}"/>
    <cellStyle name="Normal 3 5 11" xfId="954" xr:uid="{B6D5AEB6-537F-4C97-93E3-4AB3953EDDE7}"/>
    <cellStyle name="Normal 3 5 2" xfId="40" xr:uid="{00000000-0005-0000-0000-00001D000000}"/>
    <cellStyle name="Normal 3 5 2 10" xfId="970" xr:uid="{93E3633E-932E-4553-B76D-C5B3252283D6}"/>
    <cellStyle name="Normal 3 5 2 2" xfId="72" xr:uid="{00000000-0005-0000-0000-00001D000000}"/>
    <cellStyle name="Normal 3 5 2 2 2" xfId="136" xr:uid="{FEB3D01C-DB5B-4568-90E4-B0056730F1BC}"/>
    <cellStyle name="Normal 3 5 2 2 2 2" xfId="270" xr:uid="{EC112FFB-0EB5-486C-A789-096C1BE6FD0A}"/>
    <cellStyle name="Normal 3 5 2 2 2 2 2" xfId="1200" xr:uid="{4900D08F-8FDE-4ECD-A5DC-EA7C023BFA50}"/>
    <cellStyle name="Normal 3 5 2 2 2 3" xfId="402" xr:uid="{0C28FC32-1648-45F4-907E-789D6488EE68}"/>
    <cellStyle name="Normal 3 5 2 2 2 3 2" xfId="1332" xr:uid="{F0B821C9-2380-421F-AEE6-C38F7763241E}"/>
    <cellStyle name="Normal 3 5 2 2 2 4" xfId="534" xr:uid="{9763CF3B-1026-4F64-90C0-788DF072447D}"/>
    <cellStyle name="Normal 3 5 2 2 2 4 2" xfId="1464" xr:uid="{5B6D80A8-66C3-4E7C-9736-F42C7AD22EAA}"/>
    <cellStyle name="Normal 3 5 2 2 2 5" xfId="666" xr:uid="{0B2603F6-AAE6-4CE0-872E-A41CAD03E3B5}"/>
    <cellStyle name="Normal 3 5 2 2 2 5 2" xfId="1596" xr:uid="{F7F30B3D-2B97-41B8-8D4E-38995E17BCA8}"/>
    <cellStyle name="Normal 3 5 2 2 2 6" xfId="798" xr:uid="{79EBFC30-B123-49CE-8168-F67F3C5AABD1}"/>
    <cellStyle name="Normal 3 5 2 2 2 6 2" xfId="1728" xr:uid="{A42DC20F-4371-47EB-9EA8-4947616E8A4F}"/>
    <cellStyle name="Normal 3 5 2 2 2 7" xfId="930" xr:uid="{6FE57D27-4A6A-4D6D-A8FE-EDA189E10273}"/>
    <cellStyle name="Normal 3 5 2 2 2 7 2" xfId="1860" xr:uid="{33E047BD-6F1E-4A42-84E7-30134505F5C2}"/>
    <cellStyle name="Normal 3 5 2 2 2 8" xfId="1066" xr:uid="{6F364BD9-8E13-450E-BE65-DAC4EF95743C}"/>
    <cellStyle name="Normal 3 5 2 2 3" xfId="206" xr:uid="{8FE9ADEA-0BA9-44E9-91A0-35F5431316A7}"/>
    <cellStyle name="Normal 3 5 2 2 3 2" xfId="1136" xr:uid="{9F8446BC-5D41-4934-B298-1694A4EF1D32}"/>
    <cellStyle name="Normal 3 5 2 2 4" xfId="338" xr:uid="{F709F443-CB27-432A-A68E-CDC29D014272}"/>
    <cellStyle name="Normal 3 5 2 2 4 2" xfId="1268" xr:uid="{80BF39F2-DE78-4849-89DE-3029D600CB85}"/>
    <cellStyle name="Normal 3 5 2 2 5" xfId="470" xr:uid="{9C1F540D-E817-44AC-A549-06B20E5182F3}"/>
    <cellStyle name="Normal 3 5 2 2 5 2" xfId="1400" xr:uid="{A6EADDE3-1FB3-407D-A37F-CCE1285179D3}"/>
    <cellStyle name="Normal 3 5 2 2 6" xfId="602" xr:uid="{F1DDFA03-58F8-4FE5-AEC8-0F79902C1E56}"/>
    <cellStyle name="Normal 3 5 2 2 6 2" xfId="1532" xr:uid="{ED101CC9-40AF-4422-8406-34DE5561439E}"/>
    <cellStyle name="Normal 3 5 2 2 7" xfId="734" xr:uid="{783E1C2F-FE1F-4C3F-9C63-5DE90C6AC31A}"/>
    <cellStyle name="Normal 3 5 2 2 7 2" xfId="1664" xr:uid="{B51CA421-7FC5-4EF8-9200-E1C0204BD69E}"/>
    <cellStyle name="Normal 3 5 2 2 8" xfId="866" xr:uid="{879AD606-DF4F-41CC-A214-0F7423871ECA}"/>
    <cellStyle name="Normal 3 5 2 2 8 2" xfId="1796" xr:uid="{93DDBF79-C1DA-4BC1-A9CE-603C71C4544E}"/>
    <cellStyle name="Normal 3 5 2 2 9" xfId="1002" xr:uid="{63772760-5227-4D32-B662-84A74FB2ABF9}"/>
    <cellStyle name="Normal 3 5 2 3" xfId="104" xr:uid="{5846778E-177E-44DA-999B-AC4B9AAFF3D5}"/>
    <cellStyle name="Normal 3 5 2 3 2" xfId="238" xr:uid="{BE8752EF-A2E5-4C9A-8C0E-EFA5E104AD45}"/>
    <cellStyle name="Normal 3 5 2 3 2 2" xfId="1168" xr:uid="{F3810D86-02D8-4B67-B813-C5C466775508}"/>
    <cellStyle name="Normal 3 5 2 3 3" xfId="370" xr:uid="{FD837B96-063E-465A-B316-C41D687946AC}"/>
    <cellStyle name="Normal 3 5 2 3 3 2" xfId="1300" xr:uid="{273A7441-79F8-46A8-89BE-6D4B2BE935E3}"/>
    <cellStyle name="Normal 3 5 2 3 4" xfId="502" xr:uid="{7A459C9F-A0A4-47A1-9044-042E5E8469F8}"/>
    <cellStyle name="Normal 3 5 2 3 4 2" xfId="1432" xr:uid="{70453345-6EB8-48F2-BEF0-A7B874BDBBA1}"/>
    <cellStyle name="Normal 3 5 2 3 5" xfId="634" xr:uid="{98F73A5C-5D81-405F-B0D8-4A29E4DFDD08}"/>
    <cellStyle name="Normal 3 5 2 3 5 2" xfId="1564" xr:uid="{C73517EB-C108-4833-9C18-A788F85BCEAE}"/>
    <cellStyle name="Normal 3 5 2 3 6" xfId="766" xr:uid="{9E4F6733-AEF2-4573-940E-8035C920F135}"/>
    <cellStyle name="Normal 3 5 2 3 6 2" xfId="1696" xr:uid="{51A8D5F0-A02D-4FFB-B690-416E2843DEA9}"/>
    <cellStyle name="Normal 3 5 2 3 7" xfId="898" xr:uid="{287BD6CF-7433-4A7F-A6AB-CFACA4B69897}"/>
    <cellStyle name="Normal 3 5 2 3 7 2" xfId="1828" xr:uid="{537A96E6-7F71-4753-90AA-02E6DEAE7770}"/>
    <cellStyle name="Normal 3 5 2 3 8" xfId="1034" xr:uid="{372B9F5F-151A-4DD4-A9CD-8DDAB3229820}"/>
    <cellStyle name="Normal 3 5 2 4" xfId="174" xr:uid="{4A0EE197-1B74-4896-8452-40E1C4E14F81}"/>
    <cellStyle name="Normal 3 5 2 4 2" xfId="1104" xr:uid="{C17A37D2-D525-4BC1-88CD-AD5F323EA02F}"/>
    <cellStyle name="Normal 3 5 2 5" xfId="306" xr:uid="{82572000-4C45-4B80-8D6C-AC51E18AFB9B}"/>
    <cellStyle name="Normal 3 5 2 5 2" xfId="1236" xr:uid="{DE3CAD7E-9644-47F6-8A76-BEEC30194A19}"/>
    <cellStyle name="Normal 3 5 2 6" xfId="438" xr:uid="{6454DF74-62FE-4BDE-B3C5-E7E45BF8641B}"/>
    <cellStyle name="Normal 3 5 2 6 2" xfId="1368" xr:uid="{AE1FD927-39F3-4DF0-92E9-EF5D5104A674}"/>
    <cellStyle name="Normal 3 5 2 7" xfId="570" xr:uid="{D3336279-2057-448E-899A-D684A83B1910}"/>
    <cellStyle name="Normal 3 5 2 7 2" xfId="1500" xr:uid="{F583979F-0C90-4159-85A9-553C396B41A1}"/>
    <cellStyle name="Normal 3 5 2 8" xfId="702" xr:uid="{06305047-E557-4C05-A763-90072217B672}"/>
    <cellStyle name="Normal 3 5 2 8 2" xfId="1632" xr:uid="{58107367-2C2E-4157-9A44-2296B78D4F7C}"/>
    <cellStyle name="Normal 3 5 2 9" xfId="834" xr:uid="{0D609BFC-8092-4566-A447-7F595B81013B}"/>
    <cellStyle name="Normal 3 5 2 9 2" xfId="1764" xr:uid="{9D0DBB03-0163-4FA3-9F76-405EDE37C024}"/>
    <cellStyle name="Normal 3 5 3" xfId="56" xr:uid="{00000000-0005-0000-0000-00001C000000}"/>
    <cellStyle name="Normal 3 5 3 2" xfId="120" xr:uid="{2BF3EE8B-2E09-439A-AD38-5EAE945C1613}"/>
    <cellStyle name="Normal 3 5 3 2 2" xfId="254" xr:uid="{DFEAB7AA-9412-44CE-A737-6784DF719AA5}"/>
    <cellStyle name="Normal 3 5 3 2 2 2" xfId="1184" xr:uid="{E1A0807A-C6E6-4F7F-A1E7-BC857C20EB88}"/>
    <cellStyle name="Normal 3 5 3 2 3" xfId="386" xr:uid="{3F74AB6C-5154-4A30-94C6-743A31050580}"/>
    <cellStyle name="Normal 3 5 3 2 3 2" xfId="1316" xr:uid="{5F13D46C-6191-4760-A792-25F8F91855C5}"/>
    <cellStyle name="Normal 3 5 3 2 4" xfId="518" xr:uid="{379B1895-C8B8-4ACF-ACA9-66A9C037962C}"/>
    <cellStyle name="Normal 3 5 3 2 4 2" xfId="1448" xr:uid="{0F4CF741-1C38-4BD8-A930-E7DF2983C09E}"/>
    <cellStyle name="Normal 3 5 3 2 5" xfId="650" xr:uid="{6E7B0FC2-932F-4BE6-8B94-EE07353C176B}"/>
    <cellStyle name="Normal 3 5 3 2 5 2" xfId="1580" xr:uid="{2B5CACD3-0792-42AE-86B9-38B8C56FC135}"/>
    <cellStyle name="Normal 3 5 3 2 6" xfId="782" xr:uid="{3F74678E-2150-4F58-A000-66DA65574DAB}"/>
    <cellStyle name="Normal 3 5 3 2 6 2" xfId="1712" xr:uid="{527B7498-6DFC-46F7-B532-53A8EAD721AD}"/>
    <cellStyle name="Normal 3 5 3 2 7" xfId="914" xr:uid="{2772802A-5BD9-4F6A-93BF-659BC6B49DE3}"/>
    <cellStyle name="Normal 3 5 3 2 7 2" xfId="1844" xr:uid="{1D9C3521-AC58-4950-9AB8-89985364AE75}"/>
    <cellStyle name="Normal 3 5 3 2 8" xfId="1050" xr:uid="{8C42B692-CA2F-45AB-A672-04A1980E226E}"/>
    <cellStyle name="Normal 3 5 3 3" xfId="190" xr:uid="{8522E705-8153-4B55-8A2A-F1DF4CD949D8}"/>
    <cellStyle name="Normal 3 5 3 3 2" xfId="1120" xr:uid="{4A5161D3-75FF-4F7C-9AB3-4CC191AC14C5}"/>
    <cellStyle name="Normal 3 5 3 4" xfId="322" xr:uid="{9336E7D5-E5BF-43D7-9C02-B157AEBE45EF}"/>
    <cellStyle name="Normal 3 5 3 4 2" xfId="1252" xr:uid="{7D65338D-3358-4C59-930A-B5197C1A5FFD}"/>
    <cellStyle name="Normal 3 5 3 5" xfId="454" xr:uid="{15B0B714-0A65-474E-B151-1BA09C238E96}"/>
    <cellStyle name="Normal 3 5 3 5 2" xfId="1384" xr:uid="{F46D481E-E24D-43DB-8F8E-711B8059F708}"/>
    <cellStyle name="Normal 3 5 3 6" xfId="586" xr:uid="{AAEC23E9-6955-46F6-9224-367AD79570E7}"/>
    <cellStyle name="Normal 3 5 3 6 2" xfId="1516" xr:uid="{1E672B8B-B95E-45CC-8833-66E78C9FD829}"/>
    <cellStyle name="Normal 3 5 3 7" xfId="718" xr:uid="{F2003840-E163-47DE-BCB3-249CD6DE0C5F}"/>
    <cellStyle name="Normal 3 5 3 7 2" xfId="1648" xr:uid="{D1133739-D774-4D8B-843F-9E05528DD8D3}"/>
    <cellStyle name="Normal 3 5 3 8" xfId="850" xr:uid="{8BCBAF4A-C16B-40C7-B69F-AEB29F5C7E30}"/>
    <cellStyle name="Normal 3 5 3 8 2" xfId="1780" xr:uid="{03F26CB5-D059-434E-9C7A-BC56AEA78827}"/>
    <cellStyle name="Normal 3 5 3 9" xfId="986" xr:uid="{1F1EC611-7E7E-4C51-A956-28A9937DF360}"/>
    <cellStyle name="Normal 3 5 4" xfId="88" xr:uid="{E88355AA-F1DA-4AAC-BD03-5DEEF7309FA2}"/>
    <cellStyle name="Normal 3 5 4 2" xfId="222" xr:uid="{4C0D6181-DAC5-4FAF-BE13-D353451B877F}"/>
    <cellStyle name="Normal 3 5 4 2 2" xfId="1152" xr:uid="{E8C05C4A-CFB0-4158-9AD5-12DB4A75F5E6}"/>
    <cellStyle name="Normal 3 5 4 3" xfId="354" xr:uid="{E1AF2BC3-50A4-47F3-BCB5-D1320EDA99E6}"/>
    <cellStyle name="Normal 3 5 4 3 2" xfId="1284" xr:uid="{E305626D-C1C6-4EB1-B2C7-02534EAD65B3}"/>
    <cellStyle name="Normal 3 5 4 4" xfId="486" xr:uid="{FCD81BE3-AF31-4627-999B-BBBE7BA8394A}"/>
    <cellStyle name="Normal 3 5 4 4 2" xfId="1416" xr:uid="{C9763D15-B4C3-46DA-886F-90CA07B75B77}"/>
    <cellStyle name="Normal 3 5 4 5" xfId="618" xr:uid="{34630E97-9664-4AD9-9803-B8297F5D440B}"/>
    <cellStyle name="Normal 3 5 4 5 2" xfId="1548" xr:uid="{827D54A7-580A-4AB4-AC5D-0559AD2588D7}"/>
    <cellStyle name="Normal 3 5 4 6" xfId="750" xr:uid="{03025D33-88E1-40B3-96B0-7A93C1350D77}"/>
    <cellStyle name="Normal 3 5 4 6 2" xfId="1680" xr:uid="{064C5243-56F0-495A-A19E-BA0E59886F19}"/>
    <cellStyle name="Normal 3 5 4 7" xfId="882" xr:uid="{763285CF-A050-4A45-8A94-D32120067377}"/>
    <cellStyle name="Normal 3 5 4 7 2" xfId="1812" xr:uid="{EB2D99C9-B6A2-47CB-860F-D2CACC0A65A8}"/>
    <cellStyle name="Normal 3 5 4 8" xfId="1018" xr:uid="{CB5B73B9-DE8D-4004-BCDF-6E61033CC1C9}"/>
    <cellStyle name="Normal 3 5 5" xfId="156" xr:uid="{2520FAA9-9AE8-4D08-A922-C8BCB84E61CF}"/>
    <cellStyle name="Normal 3 5 5 2" xfId="1086" xr:uid="{399C528A-814C-4AFB-9B4D-E25BC95C783F}"/>
    <cellStyle name="Normal 3 5 6" xfId="290" xr:uid="{576F5329-37E3-4FB5-B4A2-12801E9159DA}"/>
    <cellStyle name="Normal 3 5 6 2" xfId="1220" xr:uid="{1AF45D06-68DA-404A-9147-E2F60C270A4E}"/>
    <cellStyle name="Normal 3 5 7" xfId="422" xr:uid="{361E093E-C472-454F-838D-D4540AB02DC0}"/>
    <cellStyle name="Normal 3 5 7 2" xfId="1352" xr:uid="{7ECD6EC7-2CBD-4218-993A-414BD8F8A1EB}"/>
    <cellStyle name="Normal 3 5 8" xfId="554" xr:uid="{0E32E46C-038F-478D-8220-CFADD94ECA58}"/>
    <cellStyle name="Normal 3 5 8 2" xfId="1484" xr:uid="{BE459B16-D101-457E-9FE8-2FF339C710D1}"/>
    <cellStyle name="Normal 3 5 9" xfId="686" xr:uid="{90812C6D-8BA6-4885-A765-13ABFCC14E4E}"/>
    <cellStyle name="Normal 3 5 9 2" xfId="1616" xr:uid="{2C9E7533-5853-4084-937E-4EA39D8F911E}"/>
    <cellStyle name="Normal 3 6" xfId="25" xr:uid="{00000000-0005-0000-0000-00001E000000}"/>
    <cellStyle name="Normal 3 6 10" xfId="821" xr:uid="{14A74C3D-344F-48A9-9BFD-78E5442D9268}"/>
    <cellStyle name="Normal 3 6 10 2" xfId="1751" xr:uid="{62FAC6DA-BBFB-469E-8779-EE50CB15A879}"/>
    <cellStyle name="Normal 3 6 11" xfId="957" xr:uid="{F8FB4318-12DE-46AD-9EDD-4B82776384C6}"/>
    <cellStyle name="Normal 3 6 2" xfId="43" xr:uid="{00000000-0005-0000-0000-00001F000000}"/>
    <cellStyle name="Normal 3 6 2 10" xfId="973" xr:uid="{7A93291F-63E1-486F-AD3F-3E2F83667ACC}"/>
    <cellStyle name="Normal 3 6 2 2" xfId="75" xr:uid="{00000000-0005-0000-0000-00001F000000}"/>
    <cellStyle name="Normal 3 6 2 2 2" xfId="139" xr:uid="{7B4619B1-D200-4F77-B943-5CDE6E077E40}"/>
    <cellStyle name="Normal 3 6 2 2 2 2" xfId="273" xr:uid="{50F50569-95D7-4FB0-BBD1-1E289B7359A4}"/>
    <cellStyle name="Normal 3 6 2 2 2 2 2" xfId="1203" xr:uid="{B7C0DC05-992A-4DCB-AAD4-FC3ED0ED4420}"/>
    <cellStyle name="Normal 3 6 2 2 2 3" xfId="405" xr:uid="{C2C7DF08-171A-4839-AA9C-FF3D093F96E8}"/>
    <cellStyle name="Normal 3 6 2 2 2 3 2" xfId="1335" xr:uid="{A7FCD277-E815-40F6-BD8E-BD51A1AC9B73}"/>
    <cellStyle name="Normal 3 6 2 2 2 4" xfId="537" xr:uid="{010A4526-D89F-46D0-A8C8-3B80C587D401}"/>
    <cellStyle name="Normal 3 6 2 2 2 4 2" xfId="1467" xr:uid="{053D50E0-616D-46CD-9997-71E817FEEDF8}"/>
    <cellStyle name="Normal 3 6 2 2 2 5" xfId="669" xr:uid="{7394F56F-19A5-41FC-8F58-4F2CC6FE8B93}"/>
    <cellStyle name="Normal 3 6 2 2 2 5 2" xfId="1599" xr:uid="{5B76D7AA-704E-4FAD-B8EB-A7CC77C97F0A}"/>
    <cellStyle name="Normal 3 6 2 2 2 6" xfId="801" xr:uid="{3DFD5337-6B47-4FC4-BB4C-3B6DDD600314}"/>
    <cellStyle name="Normal 3 6 2 2 2 6 2" xfId="1731" xr:uid="{5DD2E9EF-E594-4A2F-AD7B-0896059FBD42}"/>
    <cellStyle name="Normal 3 6 2 2 2 7" xfId="933" xr:uid="{DD844B61-272B-46C4-9351-3EA4C5C7475B}"/>
    <cellStyle name="Normal 3 6 2 2 2 7 2" xfId="1863" xr:uid="{E06BB34B-0E0C-4FF7-A11E-E3BB11114638}"/>
    <cellStyle name="Normal 3 6 2 2 2 8" xfId="1069" xr:uid="{894CA133-0E01-4D7B-8FAF-9215CFE9AF80}"/>
    <cellStyle name="Normal 3 6 2 2 3" xfId="209" xr:uid="{5154686B-8F77-4E4B-88B8-CF83AC21C82C}"/>
    <cellStyle name="Normal 3 6 2 2 3 2" xfId="1139" xr:uid="{026FFA64-C777-4C50-92D0-8385FEA39578}"/>
    <cellStyle name="Normal 3 6 2 2 4" xfId="341" xr:uid="{AC6E29CC-A783-424D-9249-863BE369FFB1}"/>
    <cellStyle name="Normal 3 6 2 2 4 2" xfId="1271" xr:uid="{2E92AA07-3763-4FE5-87D2-1C545356A5EC}"/>
    <cellStyle name="Normal 3 6 2 2 5" xfId="473" xr:uid="{A02CEA2C-AADA-4C31-80DC-CED83143055E}"/>
    <cellStyle name="Normal 3 6 2 2 5 2" xfId="1403" xr:uid="{96C454D8-C069-4A14-8A94-7674DBA53A50}"/>
    <cellStyle name="Normal 3 6 2 2 6" xfId="605" xr:uid="{050C238A-F846-4698-94F9-1098FB312D0C}"/>
    <cellStyle name="Normal 3 6 2 2 6 2" xfId="1535" xr:uid="{BAA42BB7-7FBA-470E-9B33-D3D77FBCDF9E}"/>
    <cellStyle name="Normal 3 6 2 2 7" xfId="737" xr:uid="{6D563E61-29A1-496B-B90B-4ABBE31F2524}"/>
    <cellStyle name="Normal 3 6 2 2 7 2" xfId="1667" xr:uid="{3F8BB9D9-451C-4CAF-902B-C2A5473E127A}"/>
    <cellStyle name="Normal 3 6 2 2 8" xfId="869" xr:uid="{0D27BB9E-E8E7-4300-A2B7-2EBC5026CB75}"/>
    <cellStyle name="Normal 3 6 2 2 8 2" xfId="1799" xr:uid="{A77C9012-D71B-4552-ACC5-1085A4F87C00}"/>
    <cellStyle name="Normal 3 6 2 2 9" xfId="1005" xr:uid="{068E174D-60BB-45FB-BB4B-C1D9AD84B38F}"/>
    <cellStyle name="Normal 3 6 2 3" xfId="107" xr:uid="{B017DF74-D66D-4C26-B115-3DB1E5BD9293}"/>
    <cellStyle name="Normal 3 6 2 3 2" xfId="241" xr:uid="{9850D464-C780-4251-999C-8941562318AA}"/>
    <cellStyle name="Normal 3 6 2 3 2 2" xfId="1171" xr:uid="{7E05E5B9-0456-4982-9734-A4DAF22D8DFA}"/>
    <cellStyle name="Normal 3 6 2 3 3" xfId="373" xr:uid="{76E2E606-C058-450B-B548-46DD4EBD9BF8}"/>
    <cellStyle name="Normal 3 6 2 3 3 2" xfId="1303" xr:uid="{3AA72485-D0EA-4432-9151-8771FF5AB577}"/>
    <cellStyle name="Normal 3 6 2 3 4" xfId="505" xr:uid="{B82AD704-4865-4BF7-8B48-677E145B6C9B}"/>
    <cellStyle name="Normal 3 6 2 3 4 2" xfId="1435" xr:uid="{5D291910-4565-4E71-942D-2454947EC04E}"/>
    <cellStyle name="Normal 3 6 2 3 5" xfId="637" xr:uid="{C20D2EFA-BC02-4D3E-B0B7-587F6CFCBE5D}"/>
    <cellStyle name="Normal 3 6 2 3 5 2" xfId="1567" xr:uid="{3C9B7D56-2545-4143-9268-3A86DA28059C}"/>
    <cellStyle name="Normal 3 6 2 3 6" xfId="769" xr:uid="{ADFC7C85-E35E-4E2A-8B03-D2D78ADBF09A}"/>
    <cellStyle name="Normal 3 6 2 3 6 2" xfId="1699" xr:uid="{59477815-71E4-462D-A8C1-17C286A35252}"/>
    <cellStyle name="Normal 3 6 2 3 7" xfId="901" xr:uid="{8011135E-0028-4C29-896A-8C427B846298}"/>
    <cellStyle name="Normal 3 6 2 3 7 2" xfId="1831" xr:uid="{E9796F1C-191F-48A3-A21E-DF2D593BA126}"/>
    <cellStyle name="Normal 3 6 2 3 8" xfId="1037" xr:uid="{764190BF-9A36-4924-97A7-B98CFADD9E43}"/>
    <cellStyle name="Normal 3 6 2 4" xfId="177" xr:uid="{540C93D0-5DFF-4B47-B094-49F1C1AF2A84}"/>
    <cellStyle name="Normal 3 6 2 4 2" xfId="1107" xr:uid="{BECBC71C-7056-4642-B57C-3B26C6258C90}"/>
    <cellStyle name="Normal 3 6 2 5" xfId="309" xr:uid="{62FF4027-BEEB-4EBA-9481-511043FC78B9}"/>
    <cellStyle name="Normal 3 6 2 5 2" xfId="1239" xr:uid="{C9FA7B29-A6FB-48D7-BCE0-55B3B2BBBAAB}"/>
    <cellStyle name="Normal 3 6 2 6" xfId="441" xr:uid="{E1CEDE81-E143-4495-9BFE-FFC3B16D8108}"/>
    <cellStyle name="Normal 3 6 2 6 2" xfId="1371" xr:uid="{8A7A3EC6-C535-4955-9E0D-EF16EEB2CA07}"/>
    <cellStyle name="Normal 3 6 2 7" xfId="573" xr:uid="{70841A4C-8709-4B47-943B-B828691561BE}"/>
    <cellStyle name="Normal 3 6 2 7 2" xfId="1503" xr:uid="{A28CBB06-0E1B-4599-84DF-1B6CFFD4B305}"/>
    <cellStyle name="Normal 3 6 2 8" xfId="705" xr:uid="{5FE38173-469D-4C31-B970-E65FA77BFA3A}"/>
    <cellStyle name="Normal 3 6 2 8 2" xfId="1635" xr:uid="{8FA4A5C4-BEDC-44EC-BC35-045E2D512D97}"/>
    <cellStyle name="Normal 3 6 2 9" xfId="837" xr:uid="{45E469F8-AE56-42B5-9E6B-556FE7074487}"/>
    <cellStyle name="Normal 3 6 2 9 2" xfId="1767" xr:uid="{CDBBDB4A-34FF-48A7-9328-BA5CFB584DFC}"/>
    <cellStyle name="Normal 3 6 3" xfId="59" xr:uid="{00000000-0005-0000-0000-00001E000000}"/>
    <cellStyle name="Normal 3 6 3 2" xfId="123" xr:uid="{3B9D77DC-40BE-4E0B-8DB7-E10DAFFA3C4B}"/>
    <cellStyle name="Normal 3 6 3 2 2" xfId="257" xr:uid="{3E06A261-4D65-40BD-979C-D0BCD1472C38}"/>
    <cellStyle name="Normal 3 6 3 2 2 2" xfId="1187" xr:uid="{E9075C1A-B76A-46F7-987C-4954B3D0B297}"/>
    <cellStyle name="Normal 3 6 3 2 3" xfId="389" xr:uid="{1205C346-D4A9-4B18-93A6-2D67A04A82B5}"/>
    <cellStyle name="Normal 3 6 3 2 3 2" xfId="1319" xr:uid="{DA56F9EC-7829-4475-95B8-45992644E983}"/>
    <cellStyle name="Normal 3 6 3 2 4" xfId="521" xr:uid="{8EC1FB5F-0161-42DE-B6BE-C078F5C936AF}"/>
    <cellStyle name="Normal 3 6 3 2 4 2" xfId="1451" xr:uid="{B8BB1061-635D-4EBD-9DD1-D3451129DCF8}"/>
    <cellStyle name="Normal 3 6 3 2 5" xfId="653" xr:uid="{9BE348AB-F649-476B-82D7-D6006BA2FEA3}"/>
    <cellStyle name="Normal 3 6 3 2 5 2" xfId="1583" xr:uid="{22504BA3-ECC9-4D36-A54C-9B45D4F30316}"/>
    <cellStyle name="Normal 3 6 3 2 6" xfId="785" xr:uid="{C87377B1-68C8-4658-B453-1F25F596A7A7}"/>
    <cellStyle name="Normal 3 6 3 2 6 2" xfId="1715" xr:uid="{F369EA9A-39BD-46A4-9A75-E1BB1ACA7FAA}"/>
    <cellStyle name="Normal 3 6 3 2 7" xfId="917" xr:uid="{AE93B744-9D06-4003-B882-174E25731AA7}"/>
    <cellStyle name="Normal 3 6 3 2 7 2" xfId="1847" xr:uid="{EA9E6676-042F-456E-8806-BCD20B7655DB}"/>
    <cellStyle name="Normal 3 6 3 2 8" xfId="1053" xr:uid="{A2926A51-608F-4FCA-9261-FEE3BC61259D}"/>
    <cellStyle name="Normal 3 6 3 3" xfId="193" xr:uid="{FBD79BF1-09B2-4BB1-B572-A2ED310143B2}"/>
    <cellStyle name="Normal 3 6 3 3 2" xfId="1123" xr:uid="{6C08B740-0BFC-4831-B67B-8B2F28BB764E}"/>
    <cellStyle name="Normal 3 6 3 4" xfId="325" xr:uid="{D772D9F6-4E4B-4E20-80B1-3CDE16C5E5F0}"/>
    <cellStyle name="Normal 3 6 3 4 2" xfId="1255" xr:uid="{7B815AD7-FFD5-4443-8C09-862A94E5BB81}"/>
    <cellStyle name="Normal 3 6 3 5" xfId="457" xr:uid="{CB0E04A2-253E-42AD-B1B2-41C313B3A34A}"/>
    <cellStyle name="Normal 3 6 3 5 2" xfId="1387" xr:uid="{23870E06-4151-44AA-B739-D5EA911BF8C4}"/>
    <cellStyle name="Normal 3 6 3 6" xfId="589" xr:uid="{5C1C2B66-E0E0-4E09-911B-B10C5A1CBDC8}"/>
    <cellStyle name="Normal 3 6 3 6 2" xfId="1519" xr:uid="{01402281-AE0E-4D13-9387-F16912C80D24}"/>
    <cellStyle name="Normal 3 6 3 7" xfId="721" xr:uid="{613DAF64-0DBA-4114-9C56-DB14464202C2}"/>
    <cellStyle name="Normal 3 6 3 7 2" xfId="1651" xr:uid="{2716C76E-30E3-45C0-BBA5-E33461B89E9E}"/>
    <cellStyle name="Normal 3 6 3 8" xfId="853" xr:uid="{B3329DDD-2147-48E2-8B2B-B31D6209D395}"/>
    <cellStyle name="Normal 3 6 3 8 2" xfId="1783" xr:uid="{E1DD53F3-FCCD-4AAF-B084-35FE114EA9D7}"/>
    <cellStyle name="Normal 3 6 3 9" xfId="989" xr:uid="{B47E70FD-6B0F-460A-859E-DCF62791CDA1}"/>
    <cellStyle name="Normal 3 6 4" xfId="91" xr:uid="{F6DB2E0F-2818-4CD8-9BC0-BE1B61767684}"/>
    <cellStyle name="Normal 3 6 4 2" xfId="225" xr:uid="{351D7B33-DB88-465E-B259-6616FC970713}"/>
    <cellStyle name="Normal 3 6 4 2 2" xfId="1155" xr:uid="{27AC4C6B-01B1-49C2-A451-71B9B8191C77}"/>
    <cellStyle name="Normal 3 6 4 3" xfId="357" xr:uid="{18BDD82E-7ED1-4E7F-898D-C20C6757D0F2}"/>
    <cellStyle name="Normal 3 6 4 3 2" xfId="1287" xr:uid="{5380F0BA-4688-4FA8-92C7-32383F8402C4}"/>
    <cellStyle name="Normal 3 6 4 4" xfId="489" xr:uid="{48A3EA25-2782-4D53-A269-2F12B7CB2DF1}"/>
    <cellStyle name="Normal 3 6 4 4 2" xfId="1419" xr:uid="{4EEC6486-D7E6-430E-AB96-18950ADAC06A}"/>
    <cellStyle name="Normal 3 6 4 5" xfId="621" xr:uid="{C4C9BADD-3A6E-4D7E-B609-9253ADA393F1}"/>
    <cellStyle name="Normal 3 6 4 5 2" xfId="1551" xr:uid="{5938131F-4B37-4577-A133-E438323BB529}"/>
    <cellStyle name="Normal 3 6 4 6" xfId="753" xr:uid="{FE2FD01C-A0B0-45BB-AAA7-F90A68242320}"/>
    <cellStyle name="Normal 3 6 4 6 2" xfId="1683" xr:uid="{88C51F2D-7E04-4063-AF48-0D9B740692E0}"/>
    <cellStyle name="Normal 3 6 4 7" xfId="885" xr:uid="{C4579EF5-72E6-44FF-A291-81F52923A8AC}"/>
    <cellStyle name="Normal 3 6 4 7 2" xfId="1815" xr:uid="{F49ABF43-3EA9-4AE5-AF32-F90C22FA11E4}"/>
    <cellStyle name="Normal 3 6 4 8" xfId="1021" xr:uid="{B194D230-45A5-4E21-918C-336E359EAAC7}"/>
    <cellStyle name="Normal 3 6 5" xfId="159" xr:uid="{3C504EE1-F8B2-4D21-BADD-EEE851B4A4D2}"/>
    <cellStyle name="Normal 3 6 5 2" xfId="1089" xr:uid="{EE0663B8-1F02-40C1-A3CC-B50B0F6E7189}"/>
    <cellStyle name="Normal 3 6 6" xfId="293" xr:uid="{8378EDE7-E65C-4C69-9445-0D00642FED7A}"/>
    <cellStyle name="Normal 3 6 6 2" xfId="1223" xr:uid="{7410DF20-0798-43D5-BD14-9728B8D4DE54}"/>
    <cellStyle name="Normal 3 6 7" xfId="425" xr:uid="{14E4F474-D8B8-4BF6-B630-8E54A6C0F662}"/>
    <cellStyle name="Normal 3 6 7 2" xfId="1355" xr:uid="{85FD64EF-681F-42EC-83ED-1D3B5E9D50DC}"/>
    <cellStyle name="Normal 3 6 8" xfId="557" xr:uid="{B8D90FCD-9DB0-42DB-8E88-C57A7A1C23D2}"/>
    <cellStyle name="Normal 3 6 8 2" xfId="1487" xr:uid="{D7D0B096-E15E-4A69-AE65-715536247266}"/>
    <cellStyle name="Normal 3 6 9" xfId="689" xr:uid="{65EC686F-65E7-46F6-9791-4B06D49EC587}"/>
    <cellStyle name="Normal 3 6 9 2" xfId="1619" xr:uid="{34414356-373C-475F-B977-7E92DB6A7231}"/>
    <cellStyle name="Normal 3 7" xfId="8" xr:uid="{00000000-0005-0000-0000-000020000000}"/>
    <cellStyle name="Normal 3 7 10" xfId="807" xr:uid="{04ED98DE-5BA1-493A-9523-ED0EF9F90309}"/>
    <cellStyle name="Normal 3 7 10 2" xfId="1737" xr:uid="{E44275FC-2C8C-4128-8F42-DE725080EFBD}"/>
    <cellStyle name="Normal 3 7 11" xfId="943" xr:uid="{4971B13C-46B3-4C88-BE9E-A9A05D14E7FC}"/>
    <cellStyle name="Normal 3 7 2" xfId="31" xr:uid="{00000000-0005-0000-0000-000021000000}"/>
    <cellStyle name="Normal 3 7 2 10" xfId="961" xr:uid="{E06216AF-6166-4223-A302-4253CFD25C03}"/>
    <cellStyle name="Normal 3 7 2 2" xfId="63" xr:uid="{00000000-0005-0000-0000-000021000000}"/>
    <cellStyle name="Normal 3 7 2 2 2" xfId="127" xr:uid="{37E147A9-C06E-4C86-AABB-EA7FC07AE272}"/>
    <cellStyle name="Normal 3 7 2 2 2 2" xfId="261" xr:uid="{F9B00130-FBD4-4244-8522-B4A065CD23DC}"/>
    <cellStyle name="Normal 3 7 2 2 2 2 2" xfId="1191" xr:uid="{9B02DED8-1B6B-4982-8AC2-F732451FE8DC}"/>
    <cellStyle name="Normal 3 7 2 2 2 3" xfId="393" xr:uid="{B1D32437-CA66-4306-B5E1-FE4BB8B99C45}"/>
    <cellStyle name="Normal 3 7 2 2 2 3 2" xfId="1323" xr:uid="{A1492FF8-96D5-47EB-A50E-C8FE2D9E1511}"/>
    <cellStyle name="Normal 3 7 2 2 2 4" xfId="525" xr:uid="{F7C5056F-A128-4C83-868D-5E80A4FF3F23}"/>
    <cellStyle name="Normal 3 7 2 2 2 4 2" xfId="1455" xr:uid="{A4C8417B-2B78-48BB-B97D-E620B887928A}"/>
    <cellStyle name="Normal 3 7 2 2 2 5" xfId="657" xr:uid="{53158B96-783A-4039-A958-9793FE196C8B}"/>
    <cellStyle name="Normal 3 7 2 2 2 5 2" xfId="1587" xr:uid="{E7D61D93-3315-4366-9934-4EF74AB87FED}"/>
    <cellStyle name="Normal 3 7 2 2 2 6" xfId="789" xr:uid="{29B3489C-2D3A-4837-85A1-23A054370066}"/>
    <cellStyle name="Normal 3 7 2 2 2 6 2" xfId="1719" xr:uid="{418494B3-D0B2-4DBA-83BA-F9E1371B790D}"/>
    <cellStyle name="Normal 3 7 2 2 2 7" xfId="921" xr:uid="{C5432AD4-FD60-4AF2-B3B8-C2B7A52B9ED8}"/>
    <cellStyle name="Normal 3 7 2 2 2 7 2" xfId="1851" xr:uid="{5096CE1F-9453-4E74-86A0-2820FEB73BFE}"/>
    <cellStyle name="Normal 3 7 2 2 2 8" xfId="1057" xr:uid="{A5E38E04-6768-4102-8CC4-060DC37472FD}"/>
    <cellStyle name="Normal 3 7 2 2 3" xfId="197" xr:uid="{D7782BD6-2926-406C-B584-8DAA19D96581}"/>
    <cellStyle name="Normal 3 7 2 2 3 2" xfId="1127" xr:uid="{8E958359-9CAA-4708-A4F7-2B679E64C0D2}"/>
    <cellStyle name="Normal 3 7 2 2 4" xfId="329" xr:uid="{63ACD2C2-C9A2-4E59-8A7F-F671D718EF2B}"/>
    <cellStyle name="Normal 3 7 2 2 4 2" xfId="1259" xr:uid="{D99EF927-8087-42A2-ABC8-4099C19D148D}"/>
    <cellStyle name="Normal 3 7 2 2 5" xfId="461" xr:uid="{19CE739C-010C-4423-A346-11E4D28855EB}"/>
    <cellStyle name="Normal 3 7 2 2 5 2" xfId="1391" xr:uid="{28E5C968-94C5-4384-B08E-1EB1A851B908}"/>
    <cellStyle name="Normal 3 7 2 2 6" xfId="593" xr:uid="{890D4C23-E64A-44D2-9CA5-F7D133812B53}"/>
    <cellStyle name="Normal 3 7 2 2 6 2" xfId="1523" xr:uid="{F12545F4-CCF1-4A6C-94A7-7ED3C3A98D30}"/>
    <cellStyle name="Normal 3 7 2 2 7" xfId="725" xr:uid="{D28AA375-841C-42E5-926A-095CEDD5219B}"/>
    <cellStyle name="Normal 3 7 2 2 7 2" xfId="1655" xr:uid="{DEC9C5B2-59B2-41D1-B69F-B0456E96C654}"/>
    <cellStyle name="Normal 3 7 2 2 8" xfId="857" xr:uid="{85759D7F-712F-4051-84F1-2CA01054600C}"/>
    <cellStyle name="Normal 3 7 2 2 8 2" xfId="1787" xr:uid="{220CDBFD-3B8A-4F7E-A42F-74D11085CA8A}"/>
    <cellStyle name="Normal 3 7 2 2 9" xfId="993" xr:uid="{76195853-AEBC-4C4D-8741-7A3A2CCC0ACA}"/>
    <cellStyle name="Normal 3 7 2 3" xfId="95" xr:uid="{8D6BD1AE-7EEC-4D16-B880-7ADAB1B1CC55}"/>
    <cellStyle name="Normal 3 7 2 3 2" xfId="229" xr:uid="{303BF921-CA49-4CC2-BB72-451FB3CD840E}"/>
    <cellStyle name="Normal 3 7 2 3 2 2" xfId="1159" xr:uid="{CB50A8B1-2004-4A6A-A2C5-E97B884A143A}"/>
    <cellStyle name="Normal 3 7 2 3 3" xfId="361" xr:uid="{4573F629-EE34-4DFF-B9FE-A39626168095}"/>
    <cellStyle name="Normal 3 7 2 3 3 2" xfId="1291" xr:uid="{7654A138-E2BE-45A5-A3AB-193D78F06F57}"/>
    <cellStyle name="Normal 3 7 2 3 4" xfId="493" xr:uid="{EE03E83D-07A1-49AE-8809-04E536E6C975}"/>
    <cellStyle name="Normal 3 7 2 3 4 2" xfId="1423" xr:uid="{6090572E-17DF-4D16-A82F-D842F5BCDADA}"/>
    <cellStyle name="Normal 3 7 2 3 5" xfId="625" xr:uid="{B918D2EB-D9E6-40AA-98BD-BCC633E75823}"/>
    <cellStyle name="Normal 3 7 2 3 5 2" xfId="1555" xr:uid="{6BBDB1FB-FA3F-48E0-8C72-56A71376AAF7}"/>
    <cellStyle name="Normal 3 7 2 3 6" xfId="757" xr:uid="{1A375B09-4FC0-4B73-BE16-94D153E1DA10}"/>
    <cellStyle name="Normal 3 7 2 3 6 2" xfId="1687" xr:uid="{B5EE914D-0F3F-4F15-BFCF-D1B1A213DC70}"/>
    <cellStyle name="Normal 3 7 2 3 7" xfId="889" xr:uid="{DE0D8640-74DF-4BDE-8873-8E5FBB387688}"/>
    <cellStyle name="Normal 3 7 2 3 7 2" xfId="1819" xr:uid="{F8002E93-3B72-4717-BBB4-76B0AB36752B}"/>
    <cellStyle name="Normal 3 7 2 3 8" xfId="1025" xr:uid="{C4D9DA1C-89AF-4EBB-86C5-AE20DE316B8C}"/>
    <cellStyle name="Normal 3 7 2 4" xfId="165" xr:uid="{F3A6E8B3-277E-42D3-A5C6-B274FA290EF7}"/>
    <cellStyle name="Normal 3 7 2 4 2" xfId="1095" xr:uid="{7FE15CE1-1D5E-4C07-A234-9625D1ABE46C}"/>
    <cellStyle name="Normal 3 7 2 5" xfId="297" xr:uid="{E1A03223-FF36-4F47-8F37-3AA33F0D6A41}"/>
    <cellStyle name="Normal 3 7 2 5 2" xfId="1227" xr:uid="{141491D5-2D60-4EBA-A7AE-C9E03BADD2CA}"/>
    <cellStyle name="Normal 3 7 2 6" xfId="429" xr:uid="{D2F6C090-04A3-4336-808A-C96B14C524AB}"/>
    <cellStyle name="Normal 3 7 2 6 2" xfId="1359" xr:uid="{DBA4914E-8FBE-4C77-A5B4-13BEF1578136}"/>
    <cellStyle name="Normal 3 7 2 7" xfId="561" xr:uid="{634B0B41-7093-43FE-8B62-FEA89AEAA419}"/>
    <cellStyle name="Normal 3 7 2 7 2" xfId="1491" xr:uid="{A7717D26-76A7-45AD-B60A-A2D42B11CD98}"/>
    <cellStyle name="Normal 3 7 2 8" xfId="693" xr:uid="{63C21AC9-BF00-4920-8E94-612373DE4F8F}"/>
    <cellStyle name="Normal 3 7 2 8 2" xfId="1623" xr:uid="{6FBA883C-84C5-4164-BD7D-55CFCE32E789}"/>
    <cellStyle name="Normal 3 7 2 9" xfId="825" xr:uid="{C849AD85-9429-42A3-BE74-CDEBBE834AD9}"/>
    <cellStyle name="Normal 3 7 2 9 2" xfId="1755" xr:uid="{C2EB94A4-1474-4483-8B06-C0BA556C7E8F}"/>
    <cellStyle name="Normal 3 7 3" xfId="47" xr:uid="{00000000-0005-0000-0000-000020000000}"/>
    <cellStyle name="Normal 3 7 3 2" xfId="111" xr:uid="{7515433D-BE26-4BBD-B838-312B8D6E568D}"/>
    <cellStyle name="Normal 3 7 3 2 2" xfId="245" xr:uid="{45807ED8-6E24-49E5-9A6B-6E04C63C8881}"/>
    <cellStyle name="Normal 3 7 3 2 2 2" xfId="1175" xr:uid="{C876A74F-DA98-451B-AF9F-842575457F00}"/>
    <cellStyle name="Normal 3 7 3 2 3" xfId="377" xr:uid="{F65D3284-6018-4DD3-8722-A0E4EC704939}"/>
    <cellStyle name="Normal 3 7 3 2 3 2" xfId="1307" xr:uid="{5033E78C-344C-49B5-B96E-AAD0E311ADE0}"/>
    <cellStyle name="Normal 3 7 3 2 4" xfId="509" xr:uid="{192C2EA3-A008-4FA6-8269-69FC5E3412C4}"/>
    <cellStyle name="Normal 3 7 3 2 4 2" xfId="1439" xr:uid="{20F4B537-7BC8-4FDC-8D29-E57AA877115B}"/>
    <cellStyle name="Normal 3 7 3 2 5" xfId="641" xr:uid="{F3A47F09-BDC0-47CD-BD3B-48BC155C051D}"/>
    <cellStyle name="Normal 3 7 3 2 5 2" xfId="1571" xr:uid="{78228895-DFF7-4615-922C-09E28A42CA42}"/>
    <cellStyle name="Normal 3 7 3 2 6" xfId="773" xr:uid="{24D39338-9B8F-49CA-BC23-D4189C5631C6}"/>
    <cellStyle name="Normal 3 7 3 2 6 2" xfId="1703" xr:uid="{9630BE0D-9982-4AA0-9F5E-E18E0382E864}"/>
    <cellStyle name="Normal 3 7 3 2 7" xfId="905" xr:uid="{09262F50-FB0A-4E3E-A40E-B33C43BB6C92}"/>
    <cellStyle name="Normal 3 7 3 2 7 2" xfId="1835" xr:uid="{8B4B6FBC-78F7-4C6B-8253-8C1B4308404E}"/>
    <cellStyle name="Normal 3 7 3 2 8" xfId="1041" xr:uid="{17668ECC-9657-4E69-BD92-859C6F691268}"/>
    <cellStyle name="Normal 3 7 3 3" xfId="181" xr:uid="{8D296C2F-8479-4482-BDAE-206C700A4548}"/>
    <cellStyle name="Normal 3 7 3 3 2" xfId="1111" xr:uid="{6BA796D5-9D73-4BBE-B148-8EAB427CFD97}"/>
    <cellStyle name="Normal 3 7 3 4" xfId="313" xr:uid="{D4477A6B-6E6B-4439-8455-FE0E49DD2B93}"/>
    <cellStyle name="Normal 3 7 3 4 2" xfId="1243" xr:uid="{9DFC3CF7-8432-42F9-887E-40B5EEEC201B}"/>
    <cellStyle name="Normal 3 7 3 5" xfId="445" xr:uid="{331D775D-82A0-4D15-99D1-095DDAC4AEDF}"/>
    <cellStyle name="Normal 3 7 3 5 2" xfId="1375" xr:uid="{5BCA6BFB-4F9F-40F7-97F2-91D523FF1705}"/>
    <cellStyle name="Normal 3 7 3 6" xfId="577" xr:uid="{22C72935-04C7-4781-A49B-22B9A0B9B79B}"/>
    <cellStyle name="Normal 3 7 3 6 2" xfId="1507" xr:uid="{33F7AD20-5DC5-40B6-B4A6-ADA060120E26}"/>
    <cellStyle name="Normal 3 7 3 7" xfId="709" xr:uid="{5F5E7F44-8BFA-47BA-956A-3EE692EC8BA7}"/>
    <cellStyle name="Normal 3 7 3 7 2" xfId="1639" xr:uid="{A0D27B93-5BEC-4D9A-8C15-A08AC6847F0C}"/>
    <cellStyle name="Normal 3 7 3 8" xfId="841" xr:uid="{DA19CAAD-7453-48F8-91E5-66FB729EA4E1}"/>
    <cellStyle name="Normal 3 7 3 8 2" xfId="1771" xr:uid="{C5AD11B4-A7E1-46FB-A006-A66DEE0D70A5}"/>
    <cellStyle name="Normal 3 7 3 9" xfId="977" xr:uid="{4544DAFE-02AF-470B-B247-A29B74173A8A}"/>
    <cellStyle name="Normal 3 7 4" xfId="79" xr:uid="{AE0B4B2F-75BE-44C1-8079-AB0031DACAA4}"/>
    <cellStyle name="Normal 3 7 4 2" xfId="213" xr:uid="{BDBB13AE-F6F4-4A79-82DD-96830E7178A3}"/>
    <cellStyle name="Normal 3 7 4 2 2" xfId="1143" xr:uid="{A92E99F9-0750-40BE-AD09-455610C09D67}"/>
    <cellStyle name="Normal 3 7 4 3" xfId="345" xr:uid="{327EFB5A-8196-47E9-86A7-61D852644BA3}"/>
    <cellStyle name="Normal 3 7 4 3 2" xfId="1275" xr:uid="{6A974795-D48A-4E16-A653-202C1A8C329B}"/>
    <cellStyle name="Normal 3 7 4 4" xfId="477" xr:uid="{C18B1F11-2AD1-443A-963E-D1F77B2733BF}"/>
    <cellStyle name="Normal 3 7 4 4 2" xfId="1407" xr:uid="{593DD168-A991-4FE7-BC3C-65CB871032D8}"/>
    <cellStyle name="Normal 3 7 4 5" xfId="609" xr:uid="{4A3D820D-EB67-4B8E-81B3-8D3075157E76}"/>
    <cellStyle name="Normal 3 7 4 5 2" xfId="1539" xr:uid="{4CABF554-300C-4B1F-8098-6A70B549F6F0}"/>
    <cellStyle name="Normal 3 7 4 6" xfId="741" xr:uid="{A693E326-E442-49E3-8742-F5D9CDAFC536}"/>
    <cellStyle name="Normal 3 7 4 6 2" xfId="1671" xr:uid="{15659DFD-50FC-4CD7-8C68-70F4D6CAF661}"/>
    <cellStyle name="Normal 3 7 4 7" xfId="873" xr:uid="{2B5C32F1-6F59-443A-9DE3-9BB109753086}"/>
    <cellStyle name="Normal 3 7 4 7 2" xfId="1803" xr:uid="{53A12F50-C099-47C3-893C-1DC7A37C7758}"/>
    <cellStyle name="Normal 3 7 4 8" xfId="1009" xr:uid="{3C84E66A-CF52-49EF-8CCC-7D832A624AF0}"/>
    <cellStyle name="Normal 3 7 5" xfId="145" xr:uid="{7C5BFC39-C54E-498F-ADC6-92C0A5F0BB8B}"/>
    <cellStyle name="Normal 3 7 5 2" xfId="1075" xr:uid="{4148753B-14D3-49F3-B11E-5D4A6F38414A}"/>
    <cellStyle name="Normal 3 7 6" xfId="279" xr:uid="{D91BE5E1-88CC-48E8-939D-CB7B79CAC8C4}"/>
    <cellStyle name="Normal 3 7 6 2" xfId="1209" xr:uid="{5A53ABE1-53EE-41F1-9B1B-7D2F881D434D}"/>
    <cellStyle name="Normal 3 7 7" xfId="411" xr:uid="{EC6D0FC2-82C9-4FC8-A445-DD3715123FB1}"/>
    <cellStyle name="Normal 3 7 7 2" xfId="1341" xr:uid="{93A37758-73F2-4377-9FC3-B13EB68FF7A0}"/>
    <cellStyle name="Normal 3 7 8" xfId="543" xr:uid="{E9E29CA2-E898-4B3F-8BCF-174A47520648}"/>
    <cellStyle name="Normal 3 7 8 2" xfId="1473" xr:uid="{DD6A3AFE-DE76-4961-8AE9-962A1508DAB5}"/>
    <cellStyle name="Normal 3 7 9" xfId="675" xr:uid="{50FC15F0-5208-4096-BE47-84A71E7C9603}"/>
    <cellStyle name="Normal 3 7 9 2" xfId="1605" xr:uid="{039CE3FF-9982-4535-A32F-8F4B6AC49D46}"/>
    <cellStyle name="Normal 3 8" xfId="28" xr:uid="{00000000-0005-0000-0000-000022000000}"/>
    <cellStyle name="Normal 3 8 10" xfId="960" xr:uid="{C3A4F46E-1F0C-41FA-895A-A17A3B8188EC}"/>
    <cellStyle name="Normal 3 8 2" xfId="62" xr:uid="{00000000-0005-0000-0000-000022000000}"/>
    <cellStyle name="Normal 3 8 2 2" xfId="126" xr:uid="{88F27EAB-7762-4ECE-8883-F03C780957DD}"/>
    <cellStyle name="Normal 3 8 2 2 2" xfId="260" xr:uid="{13C024DD-6705-4368-828B-680E9ED857F5}"/>
    <cellStyle name="Normal 3 8 2 2 2 2" xfId="1190" xr:uid="{A1F31726-D97B-4B56-9925-6BF6627837A1}"/>
    <cellStyle name="Normal 3 8 2 2 3" xfId="392" xr:uid="{3AC7E854-C3B8-4F1C-B1EC-002ABB987912}"/>
    <cellStyle name="Normal 3 8 2 2 3 2" xfId="1322" xr:uid="{6FE38218-6F6B-468D-ADD8-396E02937D8B}"/>
    <cellStyle name="Normal 3 8 2 2 4" xfId="524" xr:uid="{A6047CAD-BEB6-4C11-B393-F26F481275C7}"/>
    <cellStyle name="Normal 3 8 2 2 4 2" xfId="1454" xr:uid="{075921F5-12FC-4B44-B67F-071062DE8F99}"/>
    <cellStyle name="Normal 3 8 2 2 5" xfId="656" xr:uid="{CC8DFF5D-B5E1-4625-94CB-9E8CCEDA33BB}"/>
    <cellStyle name="Normal 3 8 2 2 5 2" xfId="1586" xr:uid="{CEF4BAD9-796C-4A41-A8A6-2495B8698497}"/>
    <cellStyle name="Normal 3 8 2 2 6" xfId="788" xr:uid="{045CB5FF-6391-4E72-AD08-CD9F72BE1599}"/>
    <cellStyle name="Normal 3 8 2 2 6 2" xfId="1718" xr:uid="{5FE067C9-3937-46DB-B7C0-5138BB85F3A0}"/>
    <cellStyle name="Normal 3 8 2 2 7" xfId="920" xr:uid="{5D5948D0-BB37-408C-8960-62A46EABFF6A}"/>
    <cellStyle name="Normal 3 8 2 2 7 2" xfId="1850" xr:uid="{180BA25D-7DA5-4915-B8B5-C97EEF056338}"/>
    <cellStyle name="Normal 3 8 2 2 8" xfId="1056" xr:uid="{E71438D4-BAAC-4D86-952B-22197EAE8F53}"/>
    <cellStyle name="Normal 3 8 2 3" xfId="196" xr:uid="{E61FF6DD-9FC5-4885-B8B8-65C03480F774}"/>
    <cellStyle name="Normal 3 8 2 3 2" xfId="1126" xr:uid="{0D83DFB9-C14F-492A-B0EA-EF0F5E6356DC}"/>
    <cellStyle name="Normal 3 8 2 4" xfId="328" xr:uid="{690BAEE3-667E-47CE-93E7-6C886C1E53F8}"/>
    <cellStyle name="Normal 3 8 2 4 2" xfId="1258" xr:uid="{4198095B-C0CE-472A-B9FC-A4AF6704AC49}"/>
    <cellStyle name="Normal 3 8 2 5" xfId="460" xr:uid="{6FCE7D98-AB8A-447C-8B6E-7E31B4ECF3F9}"/>
    <cellStyle name="Normal 3 8 2 5 2" xfId="1390" xr:uid="{9AC7E428-22AF-4793-AF05-7234A9A08B98}"/>
    <cellStyle name="Normal 3 8 2 6" xfId="592" xr:uid="{7C0683E9-18ED-4AC9-9036-4CEFECDCDA68}"/>
    <cellStyle name="Normal 3 8 2 6 2" xfId="1522" xr:uid="{950951C9-2C18-4802-B877-6BCB49875254}"/>
    <cellStyle name="Normal 3 8 2 7" xfId="724" xr:uid="{39CB47FD-B46F-482A-88F2-7376CBAD27CF}"/>
    <cellStyle name="Normal 3 8 2 7 2" xfId="1654" xr:uid="{05D2ED15-7F67-4B25-8EA6-3E69A844CB12}"/>
    <cellStyle name="Normal 3 8 2 8" xfId="856" xr:uid="{52FAD7B4-70CD-4670-9B00-3DB81257ED71}"/>
    <cellStyle name="Normal 3 8 2 8 2" xfId="1786" xr:uid="{9E813717-41AE-4A25-996D-F92D3F8106A9}"/>
    <cellStyle name="Normal 3 8 2 9" xfId="992" xr:uid="{7ED201C9-E1B2-433A-842D-EA245BC13CEE}"/>
    <cellStyle name="Normal 3 8 3" xfId="94" xr:uid="{20CEACA6-3B03-4AD7-9918-D8E0972DE73D}"/>
    <cellStyle name="Normal 3 8 3 2" xfId="228" xr:uid="{1DF8365D-6227-461F-987D-F1767BB81952}"/>
    <cellStyle name="Normal 3 8 3 2 2" xfId="1158" xr:uid="{6CF683B5-462D-40DB-B3D7-0D2598F1EA71}"/>
    <cellStyle name="Normal 3 8 3 3" xfId="360" xr:uid="{239A04FD-18AD-4B4B-B4FE-0DD3FEADDD7F}"/>
    <cellStyle name="Normal 3 8 3 3 2" xfId="1290" xr:uid="{B3A17A14-CE1D-4330-A2C2-9C3F9D00CF42}"/>
    <cellStyle name="Normal 3 8 3 4" xfId="492" xr:uid="{07F8A8D2-51DD-4A3B-92E6-DA0F72999CB9}"/>
    <cellStyle name="Normal 3 8 3 4 2" xfId="1422" xr:uid="{52573539-C426-448C-B85A-141893F46D6D}"/>
    <cellStyle name="Normal 3 8 3 5" xfId="624" xr:uid="{EDA71D09-A113-4B35-97DE-036560D7791C}"/>
    <cellStyle name="Normal 3 8 3 5 2" xfId="1554" xr:uid="{C4A94CF6-E2A1-48CA-A370-246AE1E29172}"/>
    <cellStyle name="Normal 3 8 3 6" xfId="756" xr:uid="{4A5825DA-3435-44D9-9863-F56CDE39A739}"/>
    <cellStyle name="Normal 3 8 3 6 2" xfId="1686" xr:uid="{CD7859DC-F5CC-44EA-AFD5-9DDDEB1FFC4B}"/>
    <cellStyle name="Normal 3 8 3 7" xfId="888" xr:uid="{C5820C61-107D-4CC3-9F57-349E94010990}"/>
    <cellStyle name="Normal 3 8 3 7 2" xfId="1818" xr:uid="{994B385C-B396-4766-8752-9EFF4D7352D2}"/>
    <cellStyle name="Normal 3 8 3 8" xfId="1024" xr:uid="{1DB89F0D-84B4-4D03-982E-0460C61D5C91}"/>
    <cellStyle name="Normal 3 8 4" xfId="162" xr:uid="{C8ECE7E8-91D5-4EB8-B388-9E9B4B0DAF0A}"/>
    <cellStyle name="Normal 3 8 4 2" xfId="1092" xr:uid="{923CA2D3-1661-4E3C-8B89-65D0D98126E6}"/>
    <cellStyle name="Normal 3 8 5" xfId="296" xr:uid="{ACFE43E6-9A72-4386-9B49-AD221A0A3E8F}"/>
    <cellStyle name="Normal 3 8 5 2" xfId="1226" xr:uid="{09FF17BA-B2D6-4BC0-A0E7-D19A40079DFC}"/>
    <cellStyle name="Normal 3 8 6" xfId="428" xr:uid="{25366389-5AE9-48CD-B276-ED71DA950DED}"/>
    <cellStyle name="Normal 3 8 6 2" xfId="1358" xr:uid="{03BE76F1-4C2D-4EA5-AF2B-FA769E021DBC}"/>
    <cellStyle name="Normal 3 8 7" xfId="560" xr:uid="{D939F520-72D4-4300-9B1C-8E426FFD477C}"/>
    <cellStyle name="Normal 3 8 7 2" xfId="1490" xr:uid="{BAE0F908-AE2C-4FB1-B307-00A5B158D084}"/>
    <cellStyle name="Normal 3 8 8" xfId="692" xr:uid="{B60F2D92-F92C-431D-ADF2-42C0DD746C6F}"/>
    <cellStyle name="Normal 3 8 8 2" xfId="1622" xr:uid="{1C95A4A4-43E5-4B2E-949E-F08429986920}"/>
    <cellStyle name="Normal 3 8 9" xfId="824" xr:uid="{970006C7-2D15-4A90-93C4-0D69E2EAA616}"/>
    <cellStyle name="Normal 3 8 9 2" xfId="1754" xr:uid="{25BDFB5E-7B4F-4B55-94CE-4C499E3E76FF}"/>
    <cellStyle name="Normal 3 9" xfId="46" xr:uid="{00000000-0005-0000-0000-00000D000000}"/>
    <cellStyle name="Normal 3 9 2" xfId="110" xr:uid="{86F5FB2C-914B-4D47-8A8A-169884F1020B}"/>
    <cellStyle name="Normal 3 9 2 2" xfId="244" xr:uid="{0262E8BA-1963-460C-9077-502678597859}"/>
    <cellStyle name="Normal 3 9 2 2 2" xfId="1174" xr:uid="{B73B6512-BD06-42AA-90E4-5D4C99B5EE48}"/>
    <cellStyle name="Normal 3 9 2 3" xfId="376" xr:uid="{F4B59240-8E1A-4479-A6E7-30E024F11988}"/>
    <cellStyle name="Normal 3 9 2 3 2" xfId="1306" xr:uid="{CC25F6E5-3B44-4E71-997A-34605F8C3974}"/>
    <cellStyle name="Normal 3 9 2 4" xfId="508" xr:uid="{D4A86B6F-0D4A-45CE-8721-A28868B4E363}"/>
    <cellStyle name="Normal 3 9 2 4 2" xfId="1438" xr:uid="{D97B6079-DD97-4D53-93D8-481C69DB648C}"/>
    <cellStyle name="Normal 3 9 2 5" xfId="640" xr:uid="{4FCFAB1A-BAB2-4B9B-961F-3FD1A14879E1}"/>
    <cellStyle name="Normal 3 9 2 5 2" xfId="1570" xr:uid="{B05986DC-DBA4-48B4-8C1A-C481EA3DC604}"/>
    <cellStyle name="Normal 3 9 2 6" xfId="772" xr:uid="{0DA102B6-0ECC-4968-AEBD-14A263A8B0C5}"/>
    <cellStyle name="Normal 3 9 2 6 2" xfId="1702" xr:uid="{85EF65DC-C201-4419-AAAA-68A9A596E6B2}"/>
    <cellStyle name="Normal 3 9 2 7" xfId="904" xr:uid="{FB4DF82A-BD9F-443E-8DC9-3555FDF692A7}"/>
    <cellStyle name="Normal 3 9 2 7 2" xfId="1834" xr:uid="{6D6E43D6-2C84-4FF3-8850-E6EE034E1AFA}"/>
    <cellStyle name="Normal 3 9 2 8" xfId="1040" xr:uid="{15E13574-3A27-4121-94D7-0C61CECCE37D}"/>
    <cellStyle name="Normal 3 9 3" xfId="180" xr:uid="{3284FA64-F866-4DA2-8388-778ED8385492}"/>
    <cellStyle name="Normal 3 9 3 2" xfId="1110" xr:uid="{7DDB0F76-1D35-4425-89D7-EFC525468598}"/>
    <cellStyle name="Normal 3 9 4" xfId="312" xr:uid="{E5A88CF5-E2CB-4261-BCE4-18F5B2444363}"/>
    <cellStyle name="Normal 3 9 4 2" xfId="1242" xr:uid="{6E7135D2-0A93-4947-9836-38C319884943}"/>
    <cellStyle name="Normal 3 9 5" xfId="444" xr:uid="{464FBF3F-9160-47D8-9E4C-AE279BCD9C8B}"/>
    <cellStyle name="Normal 3 9 5 2" xfId="1374" xr:uid="{EB771D30-15A6-414C-87A2-B153CEBFF996}"/>
    <cellStyle name="Normal 3 9 6" xfId="576" xr:uid="{B08E2164-7570-443F-8315-DAC3E5A77C34}"/>
    <cellStyle name="Normal 3 9 6 2" xfId="1506" xr:uid="{BEE929A1-49BB-4CA5-B485-49BB00C5B9F6}"/>
    <cellStyle name="Normal 3 9 7" xfId="708" xr:uid="{7C1D0E15-6ECF-4239-A256-9081780B8763}"/>
    <cellStyle name="Normal 3 9 7 2" xfId="1638" xr:uid="{974432FC-026E-4FFA-8893-C298E77A45F4}"/>
    <cellStyle name="Normal 3 9 8" xfId="840" xr:uid="{0C7DED25-6DCD-412C-AACC-00A25674EA15}"/>
    <cellStyle name="Normal 3 9 8 2" xfId="1770" xr:uid="{05ED5CA1-8C72-4E1E-B646-0F58DE042F3A}"/>
    <cellStyle name="Normal 3 9 9" xfId="976" xr:uid="{EFF336AA-4B3D-4FF3-BFB8-D07521C73C64}"/>
    <cellStyle name="Normal 4" xfId="10" xr:uid="{00000000-0005-0000-0000-000023000000}"/>
    <cellStyle name="Normal 5" xfId="9" xr:uid="{00000000-0005-0000-0000-000024000000}"/>
    <cellStyle name="Normal 5 10" xfId="280" xr:uid="{A3CAAF5A-68B2-438F-87D6-92A77268B0F3}"/>
    <cellStyle name="Normal 5 10 2" xfId="1210" xr:uid="{A8B2CD6C-3021-4FA2-BF4B-F13935486E08}"/>
    <cellStyle name="Normal 5 11" xfId="412" xr:uid="{06EAEB50-C5FA-4117-873B-1B55FF7649C6}"/>
    <cellStyle name="Normal 5 11 2" xfId="1342" xr:uid="{0DC2DE97-2712-4A6C-8137-E62EC92053D0}"/>
    <cellStyle name="Normal 5 12" xfId="544" xr:uid="{2E28C2A0-23E5-46A1-8A25-2790A5A4464A}"/>
    <cellStyle name="Normal 5 12 2" xfId="1474" xr:uid="{206F4FD6-79D4-4B97-94D5-1178E2F290F7}"/>
    <cellStyle name="Normal 5 13" xfId="676" xr:uid="{752A8817-2E9B-4928-B16A-85541A879D84}"/>
    <cellStyle name="Normal 5 13 2" xfId="1606" xr:uid="{FB6F1A4E-184F-4042-BC36-F9AF70A46718}"/>
    <cellStyle name="Normal 5 14" xfId="808" xr:uid="{75D7DD38-B261-466C-BEE2-1A121DBB7FD1}"/>
    <cellStyle name="Normal 5 14 2" xfId="1738" xr:uid="{88F74CE7-91F8-44D4-B1C3-7D2C84C3625D}"/>
    <cellStyle name="Normal 5 15" xfId="944" xr:uid="{A059C2F6-0C80-4D34-91CE-480EAA762035}"/>
    <cellStyle name="Normal 5 2" xfId="17" xr:uid="{00000000-0005-0000-0000-000025000000}"/>
    <cellStyle name="Normal 5 2 10" xfId="813" xr:uid="{643F9953-18EA-46D8-AE1E-407C0E81CBB3}"/>
    <cellStyle name="Normal 5 2 10 2" xfId="1743" xr:uid="{BD95E7F9-2171-49B3-82ED-9DFF253AFD2D}"/>
    <cellStyle name="Normal 5 2 11" xfId="949" xr:uid="{0816D7B3-236F-45CF-9A85-1A5FD840136A}"/>
    <cellStyle name="Normal 5 2 2" xfId="35" xr:uid="{00000000-0005-0000-0000-000026000000}"/>
    <cellStyle name="Normal 5 2 2 10" xfId="965" xr:uid="{17CB4D70-5240-472A-BE85-9C82D399CEF4}"/>
    <cellStyle name="Normal 5 2 2 2" xfId="67" xr:uid="{00000000-0005-0000-0000-000026000000}"/>
    <cellStyle name="Normal 5 2 2 2 2" xfId="131" xr:uid="{9DCB0486-B4B1-43DA-A59B-5A18CF96C8E3}"/>
    <cellStyle name="Normal 5 2 2 2 2 2" xfId="265" xr:uid="{7EA0A27E-19C1-4558-888E-A3B5D7E34BCE}"/>
    <cellStyle name="Normal 5 2 2 2 2 2 2" xfId="1195" xr:uid="{8EBB22DE-4CA3-4353-B1D2-72BEC204A4B8}"/>
    <cellStyle name="Normal 5 2 2 2 2 3" xfId="397" xr:uid="{BB68F260-B98A-43D3-800E-BCCE3FA3E10B}"/>
    <cellStyle name="Normal 5 2 2 2 2 3 2" xfId="1327" xr:uid="{6C5BE0F1-3B5F-4B93-9722-6CA03A8B72F5}"/>
    <cellStyle name="Normal 5 2 2 2 2 4" xfId="529" xr:uid="{33201D93-F00F-4037-A0CB-AE1DA3E4B38A}"/>
    <cellStyle name="Normal 5 2 2 2 2 4 2" xfId="1459" xr:uid="{BCE68A96-425A-44B3-9FB9-17EA964BB9DD}"/>
    <cellStyle name="Normal 5 2 2 2 2 5" xfId="661" xr:uid="{87EF75E6-A9BF-4EFB-95BD-BE2E3942F786}"/>
    <cellStyle name="Normal 5 2 2 2 2 5 2" xfId="1591" xr:uid="{D11D3F0B-3527-4509-BEDE-C72D747BC023}"/>
    <cellStyle name="Normal 5 2 2 2 2 6" xfId="793" xr:uid="{C7498A2E-7A8A-4FD4-9EEA-6E360939D180}"/>
    <cellStyle name="Normal 5 2 2 2 2 6 2" xfId="1723" xr:uid="{B366EDC4-6A70-44B5-B2A3-A2E635EDEB0D}"/>
    <cellStyle name="Normal 5 2 2 2 2 7" xfId="925" xr:uid="{100EC302-7EEC-49EE-BBE6-F312C12329C2}"/>
    <cellStyle name="Normal 5 2 2 2 2 7 2" xfId="1855" xr:uid="{1252AC82-80DB-4478-B221-820683CBDB29}"/>
    <cellStyle name="Normal 5 2 2 2 2 8" xfId="1061" xr:uid="{FE688764-D692-4C6A-BC8E-A8904CD5DC0C}"/>
    <cellStyle name="Normal 5 2 2 2 3" xfId="201" xr:uid="{70080ED5-57A9-404F-847D-74E2F416F36D}"/>
    <cellStyle name="Normal 5 2 2 2 3 2" xfId="1131" xr:uid="{C0BFC1D4-DC83-4187-9F76-25342D8511C3}"/>
    <cellStyle name="Normal 5 2 2 2 4" xfId="333" xr:uid="{6B40FE19-4E3D-4D3D-A232-F55C70827C1E}"/>
    <cellStyle name="Normal 5 2 2 2 4 2" xfId="1263" xr:uid="{08F67B46-2D10-49EB-91ED-AD1A00EE8816}"/>
    <cellStyle name="Normal 5 2 2 2 5" xfId="465" xr:uid="{B5C6F207-1579-43C4-85A2-CF7165BD0DFB}"/>
    <cellStyle name="Normal 5 2 2 2 5 2" xfId="1395" xr:uid="{41FA453E-4FA1-47C9-9721-BABF9527F1AA}"/>
    <cellStyle name="Normal 5 2 2 2 6" xfId="597" xr:uid="{4349B187-6F8F-4EC7-93FF-7D613BF0948D}"/>
    <cellStyle name="Normal 5 2 2 2 6 2" xfId="1527" xr:uid="{BE1ED7DC-CA72-4917-84A5-D363A0419321}"/>
    <cellStyle name="Normal 5 2 2 2 7" xfId="729" xr:uid="{A95A13F0-2DBA-4364-8069-7AC3C5B3018A}"/>
    <cellStyle name="Normal 5 2 2 2 7 2" xfId="1659" xr:uid="{A7BEBAA2-A078-4A5F-B4EE-4A17B186C056}"/>
    <cellStyle name="Normal 5 2 2 2 8" xfId="861" xr:uid="{3DD7A31B-3D61-41B8-86B8-A886D03CF88B}"/>
    <cellStyle name="Normal 5 2 2 2 8 2" xfId="1791" xr:uid="{119E47CD-90A5-4FB4-B51D-62E1CD553EFE}"/>
    <cellStyle name="Normal 5 2 2 2 9" xfId="997" xr:uid="{C73DD776-A9CF-49C8-83A5-E71A7BEB024B}"/>
    <cellStyle name="Normal 5 2 2 3" xfId="99" xr:uid="{BAA92482-EE9A-4392-9B48-1D02E994E4D5}"/>
    <cellStyle name="Normal 5 2 2 3 2" xfId="233" xr:uid="{DC2F335B-5376-415A-9100-B76FFACA8B99}"/>
    <cellStyle name="Normal 5 2 2 3 2 2" xfId="1163" xr:uid="{2BEA9D4B-FC32-433E-BA67-5D1755ADC651}"/>
    <cellStyle name="Normal 5 2 2 3 3" xfId="365" xr:uid="{FB46909F-006C-4B40-878C-71695C3DA7EF}"/>
    <cellStyle name="Normal 5 2 2 3 3 2" xfId="1295" xr:uid="{A09ABDEB-8950-4B71-8F1D-14AC33FB6428}"/>
    <cellStyle name="Normal 5 2 2 3 4" xfId="497" xr:uid="{EEB760BF-EC18-4FF2-B80C-9EB19D435E6A}"/>
    <cellStyle name="Normal 5 2 2 3 4 2" xfId="1427" xr:uid="{6A8C610C-839F-43A2-9400-7C96A9CF4B07}"/>
    <cellStyle name="Normal 5 2 2 3 5" xfId="629" xr:uid="{2C89CDF2-49ED-4D0D-B553-C4B905B5DB5E}"/>
    <cellStyle name="Normal 5 2 2 3 5 2" xfId="1559" xr:uid="{2E776FC7-7FA0-4744-A951-44E718F557A4}"/>
    <cellStyle name="Normal 5 2 2 3 6" xfId="761" xr:uid="{FEDBE682-8703-471C-9FD3-0B75CC8DAE4B}"/>
    <cellStyle name="Normal 5 2 2 3 6 2" xfId="1691" xr:uid="{EEB1803E-3D8B-4218-9618-FD530CCE83BC}"/>
    <cellStyle name="Normal 5 2 2 3 7" xfId="893" xr:uid="{0827869B-2CD8-4C44-B731-B9C86162BC5B}"/>
    <cellStyle name="Normal 5 2 2 3 7 2" xfId="1823" xr:uid="{A6FAC387-909B-4FE6-8577-9A6C7D5D281D}"/>
    <cellStyle name="Normal 5 2 2 3 8" xfId="1029" xr:uid="{B549D72A-5F7D-4F12-A4E7-068AEDC9A415}"/>
    <cellStyle name="Normal 5 2 2 4" xfId="169" xr:uid="{DC5F0C99-DCDE-4944-811B-20B48BC4553C}"/>
    <cellStyle name="Normal 5 2 2 4 2" xfId="1099" xr:uid="{616C042C-548B-465D-9F74-2EBC402B9872}"/>
    <cellStyle name="Normal 5 2 2 5" xfId="301" xr:uid="{D4026B2D-B3AB-490E-B3A7-74B7EA813586}"/>
    <cellStyle name="Normal 5 2 2 5 2" xfId="1231" xr:uid="{89BF3C14-D9F4-486F-A511-0EA9481969F6}"/>
    <cellStyle name="Normal 5 2 2 6" xfId="433" xr:uid="{49FDB01E-4881-4FE9-9CC6-174CB9608C05}"/>
    <cellStyle name="Normal 5 2 2 6 2" xfId="1363" xr:uid="{970AB0EA-5FD5-4E80-839A-B88CBE3DA7EA}"/>
    <cellStyle name="Normal 5 2 2 7" xfId="565" xr:uid="{B5D76878-B94D-489A-93C8-22FAE595C55B}"/>
    <cellStyle name="Normal 5 2 2 7 2" xfId="1495" xr:uid="{09F28220-E1C2-4115-AA4F-A11BED47D001}"/>
    <cellStyle name="Normal 5 2 2 8" xfId="697" xr:uid="{4AD2D71D-6CA0-46D4-8AD0-B047FA19CE52}"/>
    <cellStyle name="Normal 5 2 2 8 2" xfId="1627" xr:uid="{90C7F3ED-A0B8-4801-9BAA-919430DB6222}"/>
    <cellStyle name="Normal 5 2 2 9" xfId="829" xr:uid="{2D290604-32BC-4A5E-A2DF-52F30E9DF07F}"/>
    <cellStyle name="Normal 5 2 2 9 2" xfId="1759" xr:uid="{0E05C8D1-EEF1-4C4C-9423-93E2FBB33965}"/>
    <cellStyle name="Normal 5 2 3" xfId="51" xr:uid="{00000000-0005-0000-0000-000025000000}"/>
    <cellStyle name="Normal 5 2 3 2" xfId="115" xr:uid="{133670D0-79A2-47C7-88B6-BF6E93AAEAC5}"/>
    <cellStyle name="Normal 5 2 3 2 2" xfId="249" xr:uid="{04BCC4D1-E069-4B1A-8CE0-CA6E9277934E}"/>
    <cellStyle name="Normal 5 2 3 2 2 2" xfId="1179" xr:uid="{671646A0-F4F2-4063-8B92-891DD09151E5}"/>
    <cellStyle name="Normal 5 2 3 2 3" xfId="381" xr:uid="{AAFF9F4E-B2E8-4F82-B1B6-F21D1530CA10}"/>
    <cellStyle name="Normal 5 2 3 2 3 2" xfId="1311" xr:uid="{64F591EA-F424-4790-87CC-680AE6D4EF65}"/>
    <cellStyle name="Normal 5 2 3 2 4" xfId="513" xr:uid="{C69F9A69-9350-4493-AC83-4F1E832892D2}"/>
    <cellStyle name="Normal 5 2 3 2 4 2" xfId="1443" xr:uid="{EA5C1758-A25E-4731-BD20-92D9CC176F46}"/>
    <cellStyle name="Normal 5 2 3 2 5" xfId="645" xr:uid="{843A0EEF-6276-431F-BF1A-D245CA9D39F9}"/>
    <cellStyle name="Normal 5 2 3 2 5 2" xfId="1575" xr:uid="{5F6ABCA8-F103-457D-B2B2-34FC1DCFCA03}"/>
    <cellStyle name="Normal 5 2 3 2 6" xfId="777" xr:uid="{7E9931EA-7758-48DC-98E1-AF6157B0CF8E}"/>
    <cellStyle name="Normal 5 2 3 2 6 2" xfId="1707" xr:uid="{DAE3ABA2-087A-4CED-9F11-A4605B998A73}"/>
    <cellStyle name="Normal 5 2 3 2 7" xfId="909" xr:uid="{D13908BA-C863-46A9-B18A-4B62BD333714}"/>
    <cellStyle name="Normal 5 2 3 2 7 2" xfId="1839" xr:uid="{BB009C83-B244-4B57-81F5-ACE76D04F56F}"/>
    <cellStyle name="Normal 5 2 3 2 8" xfId="1045" xr:uid="{CCF4E729-9480-40C4-9D75-A4809191C319}"/>
    <cellStyle name="Normal 5 2 3 3" xfId="185" xr:uid="{07DFC7FC-4EB1-4AAC-94CB-3C9E37038EF4}"/>
    <cellStyle name="Normal 5 2 3 3 2" xfId="1115" xr:uid="{578648B4-3B2B-4344-B639-855884CCDFC0}"/>
    <cellStyle name="Normal 5 2 3 4" xfId="317" xr:uid="{9F7C09B9-28D5-49B1-B300-A7708005FFAE}"/>
    <cellStyle name="Normal 5 2 3 4 2" xfId="1247" xr:uid="{690781C7-1B6F-42F9-A0CA-731A8E618818}"/>
    <cellStyle name="Normal 5 2 3 5" xfId="449" xr:uid="{D318BD2A-579C-49F7-B0F5-CC1D2FAECE3C}"/>
    <cellStyle name="Normal 5 2 3 5 2" xfId="1379" xr:uid="{66A9224D-F80B-420E-BEBA-D15B910CE943}"/>
    <cellStyle name="Normal 5 2 3 6" xfId="581" xr:uid="{2F437761-E849-4F4C-A068-B1D43CF20242}"/>
    <cellStyle name="Normal 5 2 3 6 2" xfId="1511" xr:uid="{FEB71097-50DB-46E1-9027-11EDCE04F08D}"/>
    <cellStyle name="Normal 5 2 3 7" xfId="713" xr:uid="{9C4C81EA-9C3D-47FC-BD3F-2E882880BF97}"/>
    <cellStyle name="Normal 5 2 3 7 2" xfId="1643" xr:uid="{E33F52C5-0819-46E6-8851-60DCD16ADD5B}"/>
    <cellStyle name="Normal 5 2 3 8" xfId="845" xr:uid="{60C83E99-B9D8-4C73-99EF-00CE32BFE0D5}"/>
    <cellStyle name="Normal 5 2 3 8 2" xfId="1775" xr:uid="{31162F1C-A298-416A-936F-5D22D99D7E45}"/>
    <cellStyle name="Normal 5 2 3 9" xfId="981" xr:uid="{7E702C6B-63BB-45FB-BB8D-C8C2B557D05B}"/>
    <cellStyle name="Normal 5 2 4" xfId="83" xr:uid="{0F013FAF-6F2F-4A78-B2CF-4C709261255D}"/>
    <cellStyle name="Normal 5 2 4 2" xfId="217" xr:uid="{A389B0CF-0B18-42A4-9B50-C666773DFC13}"/>
    <cellStyle name="Normal 5 2 4 2 2" xfId="1147" xr:uid="{480E21AC-A7BD-4582-8FD0-8531F3DE135C}"/>
    <cellStyle name="Normal 5 2 4 3" xfId="349" xr:uid="{9E6999DD-BF23-484F-BF36-B605FAD2434B}"/>
    <cellStyle name="Normal 5 2 4 3 2" xfId="1279" xr:uid="{0EEBCFD5-9C6E-4DE2-B100-029D3787B417}"/>
    <cellStyle name="Normal 5 2 4 4" xfId="481" xr:uid="{83DB12B1-8839-44F8-9AD0-CF93D41251A1}"/>
    <cellStyle name="Normal 5 2 4 4 2" xfId="1411" xr:uid="{C9B1D381-CD65-4997-A9C1-827389BD80DC}"/>
    <cellStyle name="Normal 5 2 4 5" xfId="613" xr:uid="{3B59C4AD-8218-466C-8A93-5534D09B4FEE}"/>
    <cellStyle name="Normal 5 2 4 5 2" xfId="1543" xr:uid="{ED9BB0F4-9A3B-4B7D-90C8-567D63143A37}"/>
    <cellStyle name="Normal 5 2 4 6" xfId="745" xr:uid="{60FD6725-FF06-45FD-9001-BEE7F6CC36A1}"/>
    <cellStyle name="Normal 5 2 4 6 2" xfId="1675" xr:uid="{02D6BC14-F9FC-4113-A646-7960DE3DCBD7}"/>
    <cellStyle name="Normal 5 2 4 7" xfId="877" xr:uid="{B9F126DF-05E3-435E-B38F-C014F1A79FCB}"/>
    <cellStyle name="Normal 5 2 4 7 2" xfId="1807" xr:uid="{A3E3D29F-85FD-4F68-AD0C-DB6979272995}"/>
    <cellStyle name="Normal 5 2 4 8" xfId="1013" xr:uid="{C3CA009F-DD0C-4BD8-9A70-97849A482729}"/>
    <cellStyle name="Normal 5 2 5" xfId="151" xr:uid="{CE35D414-4847-4C62-AE60-D774FE171534}"/>
    <cellStyle name="Normal 5 2 5 2" xfId="1081" xr:uid="{6028DBB8-DBBB-4448-B0F1-BEE03043CF58}"/>
    <cellStyle name="Normal 5 2 6" xfId="285" xr:uid="{538640EA-897D-4C24-B0B0-F6A451A15AB5}"/>
    <cellStyle name="Normal 5 2 6 2" xfId="1215" xr:uid="{08604EC9-5941-430C-A03A-7DB905A46FB8}"/>
    <cellStyle name="Normal 5 2 7" xfId="417" xr:uid="{E06961AC-BB68-42D9-957E-0AFD67F06C8D}"/>
    <cellStyle name="Normal 5 2 7 2" xfId="1347" xr:uid="{0EF01752-CA9B-4353-9CAA-5450DA31281C}"/>
    <cellStyle name="Normal 5 2 8" xfId="549" xr:uid="{40E81F36-F30C-47BE-9728-38AEDB72B019}"/>
    <cellStyle name="Normal 5 2 8 2" xfId="1479" xr:uid="{47ED9467-C030-45DF-B73B-44D961298AD3}"/>
    <cellStyle name="Normal 5 2 9" xfId="681" xr:uid="{8441D6EC-1D79-497A-B3A4-A88B855963B9}"/>
    <cellStyle name="Normal 5 2 9 2" xfId="1611" xr:uid="{8D4A12D1-C7FF-47A0-97E8-77C8B10F0B74}"/>
    <cellStyle name="Normal 5 3" xfId="20" xr:uid="{00000000-0005-0000-0000-000027000000}"/>
    <cellStyle name="Normal 5 3 10" xfId="816" xr:uid="{0E062284-2205-4998-9C3B-8D7381BB34AF}"/>
    <cellStyle name="Normal 5 3 10 2" xfId="1746" xr:uid="{98629B73-4A56-47C0-9349-B0A3A15F9991}"/>
    <cellStyle name="Normal 5 3 11" xfId="952" xr:uid="{EFE5AAA8-D7C8-4972-A644-D9BB37A059E5}"/>
    <cellStyle name="Normal 5 3 2" xfId="38" xr:uid="{00000000-0005-0000-0000-000028000000}"/>
    <cellStyle name="Normal 5 3 2 10" xfId="968" xr:uid="{059E4E1D-CDDF-42BE-BA4E-352B474A712D}"/>
    <cellStyle name="Normal 5 3 2 2" xfId="70" xr:uid="{00000000-0005-0000-0000-000028000000}"/>
    <cellStyle name="Normal 5 3 2 2 2" xfId="134" xr:uid="{B7E5C5BD-3041-4E89-AA1B-0F8FCD848716}"/>
    <cellStyle name="Normal 5 3 2 2 2 2" xfId="268" xr:uid="{84CB2C22-C0AA-4A20-A5EE-0823C3925C87}"/>
    <cellStyle name="Normal 5 3 2 2 2 2 2" xfId="1198" xr:uid="{A566181F-32CD-48E5-A4DF-89A03ED14E8F}"/>
    <cellStyle name="Normal 5 3 2 2 2 3" xfId="400" xr:uid="{73B1D7DA-8842-4B52-BE42-FD0F790D4CFB}"/>
    <cellStyle name="Normal 5 3 2 2 2 3 2" xfId="1330" xr:uid="{5538F554-299E-49D5-A5CC-82C0031C6397}"/>
    <cellStyle name="Normal 5 3 2 2 2 4" xfId="532" xr:uid="{86AEBE5A-88B5-407A-8723-1973D978B99A}"/>
    <cellStyle name="Normal 5 3 2 2 2 4 2" xfId="1462" xr:uid="{B209D790-3C78-4DFD-BE4F-44109B8370F9}"/>
    <cellStyle name="Normal 5 3 2 2 2 5" xfId="664" xr:uid="{559048A6-0EC3-457E-8C03-8690161470FE}"/>
    <cellStyle name="Normal 5 3 2 2 2 5 2" xfId="1594" xr:uid="{1BFF0797-9434-4A63-A5D3-36831175D484}"/>
    <cellStyle name="Normal 5 3 2 2 2 6" xfId="796" xr:uid="{BDC6039D-B095-413C-8ABA-69EE7E1B5C8A}"/>
    <cellStyle name="Normal 5 3 2 2 2 6 2" xfId="1726" xr:uid="{4D138D68-A430-4CEA-A0CE-BAD824135D0B}"/>
    <cellStyle name="Normal 5 3 2 2 2 7" xfId="928" xr:uid="{024EF9E5-FC53-42EB-B2BB-D5E597B4A5C9}"/>
    <cellStyle name="Normal 5 3 2 2 2 7 2" xfId="1858" xr:uid="{9A410B54-7506-420A-BDA2-6248CB6B6A45}"/>
    <cellStyle name="Normal 5 3 2 2 2 8" xfId="1064" xr:uid="{144A9F7D-DED2-45EE-942A-5AC51C3DE687}"/>
    <cellStyle name="Normal 5 3 2 2 3" xfId="204" xr:uid="{4F340158-7A7E-42B6-B2C6-00CF1865F3D6}"/>
    <cellStyle name="Normal 5 3 2 2 3 2" xfId="1134" xr:uid="{13553E6F-DBED-49DC-A688-1AE6959B18FA}"/>
    <cellStyle name="Normal 5 3 2 2 4" xfId="336" xr:uid="{FDFBA9FA-B98E-4ABF-9941-8CCCABE32E10}"/>
    <cellStyle name="Normal 5 3 2 2 4 2" xfId="1266" xr:uid="{E9A2A3F4-8B71-4199-A937-0CD49DAF2370}"/>
    <cellStyle name="Normal 5 3 2 2 5" xfId="468" xr:uid="{5C0EF017-9F5F-41FA-B791-0FB257D722A9}"/>
    <cellStyle name="Normal 5 3 2 2 5 2" xfId="1398" xr:uid="{5B226AED-23AE-4FE5-A34C-DDC31A4D7CFF}"/>
    <cellStyle name="Normal 5 3 2 2 6" xfId="600" xr:uid="{3C73EFE2-5173-42BC-A13B-474D03D2698C}"/>
    <cellStyle name="Normal 5 3 2 2 6 2" xfId="1530" xr:uid="{1C1B1A48-137C-4449-A170-D4D1C43FDC4A}"/>
    <cellStyle name="Normal 5 3 2 2 7" xfId="732" xr:uid="{63C06285-6CB5-4F72-A5B1-19ADB961C3AB}"/>
    <cellStyle name="Normal 5 3 2 2 7 2" xfId="1662" xr:uid="{DFDB1A27-78C1-4661-99E9-1DD0AEAEBF56}"/>
    <cellStyle name="Normal 5 3 2 2 8" xfId="864" xr:uid="{7C99A890-41F9-4795-8645-0C1B72A7C8BF}"/>
    <cellStyle name="Normal 5 3 2 2 8 2" xfId="1794" xr:uid="{BDEDB2FC-2992-41C4-BBC3-E706BBC1CBFD}"/>
    <cellStyle name="Normal 5 3 2 2 9" xfId="1000" xr:uid="{8C16DB16-945F-412F-B497-F34D3A71CD57}"/>
    <cellStyle name="Normal 5 3 2 3" xfId="102" xr:uid="{B0078EAC-3A5B-4939-BC3C-72EFD96288E9}"/>
    <cellStyle name="Normal 5 3 2 3 2" xfId="236" xr:uid="{085874F8-2352-4908-AD2E-36198EE059D7}"/>
    <cellStyle name="Normal 5 3 2 3 2 2" xfId="1166" xr:uid="{95B3675D-3FEF-4F3A-86A2-EE6D857C7723}"/>
    <cellStyle name="Normal 5 3 2 3 3" xfId="368" xr:uid="{3E4AA3AD-D2C4-4921-A981-70BF20C094DA}"/>
    <cellStyle name="Normal 5 3 2 3 3 2" xfId="1298" xr:uid="{0D8150BE-B4F3-4408-8157-5A6DF375C228}"/>
    <cellStyle name="Normal 5 3 2 3 4" xfId="500" xr:uid="{E5FC80E4-27C4-47A6-9E87-0D7C266A26C8}"/>
    <cellStyle name="Normal 5 3 2 3 4 2" xfId="1430" xr:uid="{5004910D-ED26-43E2-9EEA-989366C1925F}"/>
    <cellStyle name="Normal 5 3 2 3 5" xfId="632" xr:uid="{088BC0A4-C46C-4BBB-BE03-71C8E321BB51}"/>
    <cellStyle name="Normal 5 3 2 3 5 2" xfId="1562" xr:uid="{A2694DF0-ED81-453A-889A-097AEDBDEC86}"/>
    <cellStyle name="Normal 5 3 2 3 6" xfId="764" xr:uid="{48270125-C7C4-4F51-9D76-37B744C8FD42}"/>
    <cellStyle name="Normal 5 3 2 3 6 2" xfId="1694" xr:uid="{BE4E7044-3042-454D-85E9-BDBD0F9CD319}"/>
    <cellStyle name="Normal 5 3 2 3 7" xfId="896" xr:uid="{505779B3-6473-4112-B1EC-726EB8161964}"/>
    <cellStyle name="Normal 5 3 2 3 7 2" xfId="1826" xr:uid="{44640B15-754E-4651-B0BE-2B789CCAABC5}"/>
    <cellStyle name="Normal 5 3 2 3 8" xfId="1032" xr:uid="{466FBAE1-DF7F-4BF2-8D65-5842262B6FB1}"/>
    <cellStyle name="Normal 5 3 2 4" xfId="172" xr:uid="{BA749780-BE0D-4484-BE57-568E602C03AB}"/>
    <cellStyle name="Normal 5 3 2 4 2" xfId="1102" xr:uid="{FBCDA16D-61E7-4DEA-8F13-0185894BE297}"/>
    <cellStyle name="Normal 5 3 2 5" xfId="304" xr:uid="{AAEC87FE-815D-4F0E-BDA3-25ED4CEBA7B0}"/>
    <cellStyle name="Normal 5 3 2 5 2" xfId="1234" xr:uid="{6BA5DB73-9B3A-4F0F-AD61-5A7B810F9E37}"/>
    <cellStyle name="Normal 5 3 2 6" xfId="436" xr:uid="{5CEB4835-20BF-4965-90B6-D40C367DFE00}"/>
    <cellStyle name="Normal 5 3 2 6 2" xfId="1366" xr:uid="{4D60CC12-CFA7-443F-B6D9-41BB2E507DC3}"/>
    <cellStyle name="Normal 5 3 2 7" xfId="568" xr:uid="{B16FF113-81A5-44F5-BCA9-C39EC187C182}"/>
    <cellStyle name="Normal 5 3 2 7 2" xfId="1498" xr:uid="{2B876F00-3E83-4154-A448-4FDA3C930D0B}"/>
    <cellStyle name="Normal 5 3 2 8" xfId="700" xr:uid="{A6961E8A-9A1B-4671-9DF3-6C4E0E6BD01A}"/>
    <cellStyle name="Normal 5 3 2 8 2" xfId="1630" xr:uid="{658A8F61-CDCC-458B-9ABE-4B1C90E1A27F}"/>
    <cellStyle name="Normal 5 3 2 9" xfId="832" xr:uid="{EE65554D-BA15-4E39-8150-C27438427937}"/>
    <cellStyle name="Normal 5 3 2 9 2" xfId="1762" xr:uid="{FA587A92-0DC1-4682-A4CE-B6A620015114}"/>
    <cellStyle name="Normal 5 3 3" xfId="54" xr:uid="{00000000-0005-0000-0000-000027000000}"/>
    <cellStyle name="Normal 5 3 3 2" xfId="118" xr:uid="{A3761727-C286-4A11-8718-E4E2772EE11B}"/>
    <cellStyle name="Normal 5 3 3 2 2" xfId="252" xr:uid="{3E12FD3A-E137-43A9-B69A-C6DA5FA72F32}"/>
    <cellStyle name="Normal 5 3 3 2 2 2" xfId="1182" xr:uid="{474747B7-CC8A-4184-852D-C4E8FC9FE94F}"/>
    <cellStyle name="Normal 5 3 3 2 3" xfId="384" xr:uid="{06A24842-7053-4BD5-8AFE-780F11079BA2}"/>
    <cellStyle name="Normal 5 3 3 2 3 2" xfId="1314" xr:uid="{8F30ADF5-FA5D-486B-9C7E-E4112CB789C8}"/>
    <cellStyle name="Normal 5 3 3 2 4" xfId="516" xr:uid="{7EB5D4C3-0F44-45D9-96A6-17E94C42CB3F}"/>
    <cellStyle name="Normal 5 3 3 2 4 2" xfId="1446" xr:uid="{F3C6F9AD-A110-470A-9167-972A5B0DB866}"/>
    <cellStyle name="Normal 5 3 3 2 5" xfId="648" xr:uid="{26D0B54E-1209-4AA0-A833-289586A45F7E}"/>
    <cellStyle name="Normal 5 3 3 2 5 2" xfId="1578" xr:uid="{0EF72A20-5011-46B5-99A9-FFF6D4BAB97F}"/>
    <cellStyle name="Normal 5 3 3 2 6" xfId="780" xr:uid="{25F64F31-D7E6-42AE-B824-62EC13B486A2}"/>
    <cellStyle name="Normal 5 3 3 2 6 2" xfId="1710" xr:uid="{55FF5FC6-417D-491F-8DFC-A112934C27F7}"/>
    <cellStyle name="Normal 5 3 3 2 7" xfId="912" xr:uid="{39D9E40A-4724-4C0C-A6EB-04416E70D23C}"/>
    <cellStyle name="Normal 5 3 3 2 7 2" xfId="1842" xr:uid="{9A3B5D86-D878-4051-8F8D-A3AC099D632D}"/>
    <cellStyle name="Normal 5 3 3 2 8" xfId="1048" xr:uid="{87B7717B-9704-40E6-B3C5-C41498B4450F}"/>
    <cellStyle name="Normal 5 3 3 3" xfId="188" xr:uid="{4409722B-A7F4-40F9-87C4-9C8A43EE857A}"/>
    <cellStyle name="Normal 5 3 3 3 2" xfId="1118" xr:uid="{69F0694C-4459-4154-AAA4-E1BC4F234EC5}"/>
    <cellStyle name="Normal 5 3 3 4" xfId="320" xr:uid="{EED13F86-A4E7-4F3F-9C6A-AEE858BA7102}"/>
    <cellStyle name="Normal 5 3 3 4 2" xfId="1250" xr:uid="{96A809FD-67BF-46D0-9EC0-60753E4D58C6}"/>
    <cellStyle name="Normal 5 3 3 5" xfId="452" xr:uid="{7AFE506F-14B9-4E21-9C4B-D020F5881BFB}"/>
    <cellStyle name="Normal 5 3 3 5 2" xfId="1382" xr:uid="{AA4F348C-ACED-4B27-8ABF-F106A019C30E}"/>
    <cellStyle name="Normal 5 3 3 6" xfId="584" xr:uid="{65CF35F0-8B68-4395-AA47-D8956F0579A0}"/>
    <cellStyle name="Normal 5 3 3 6 2" xfId="1514" xr:uid="{F8F76D11-E66D-4E92-AD6D-95F20BF70A8E}"/>
    <cellStyle name="Normal 5 3 3 7" xfId="716" xr:uid="{6611ECF6-D70C-4129-AB57-472189C5FF8C}"/>
    <cellStyle name="Normal 5 3 3 7 2" xfId="1646" xr:uid="{839ABAEA-A751-4023-9AD2-F0C5B47DD2DB}"/>
    <cellStyle name="Normal 5 3 3 8" xfId="848" xr:uid="{F30C425A-F6B8-484D-844B-CC4E5268B954}"/>
    <cellStyle name="Normal 5 3 3 8 2" xfId="1778" xr:uid="{8910BBA0-E1B7-4F48-9CBF-C6F7F675CA7A}"/>
    <cellStyle name="Normal 5 3 3 9" xfId="984" xr:uid="{E959C76E-DA50-43C1-BEE8-2A55BAF8803B}"/>
    <cellStyle name="Normal 5 3 4" xfId="86" xr:uid="{57796B2A-363A-4CA4-8291-BEDDD52CBA82}"/>
    <cellStyle name="Normal 5 3 4 2" xfId="220" xr:uid="{3438BADE-80E1-423D-B055-7EC28208BAC3}"/>
    <cellStyle name="Normal 5 3 4 2 2" xfId="1150" xr:uid="{A350D885-1F99-4D47-B8E4-59236C3E38DA}"/>
    <cellStyle name="Normal 5 3 4 3" xfId="352" xr:uid="{AD6F29BA-1376-4ECF-BF59-B696B6B5880C}"/>
    <cellStyle name="Normal 5 3 4 3 2" xfId="1282" xr:uid="{7847431F-B2D8-44DB-8BD0-06DD88DCBA06}"/>
    <cellStyle name="Normal 5 3 4 4" xfId="484" xr:uid="{2B34A92F-4999-4D04-9AB6-65FC755F0BFE}"/>
    <cellStyle name="Normal 5 3 4 4 2" xfId="1414" xr:uid="{BF0195C5-91A4-44F0-9012-F962821E0CE1}"/>
    <cellStyle name="Normal 5 3 4 5" xfId="616" xr:uid="{A6CF0E48-2D2C-4370-89DC-512AE58F8185}"/>
    <cellStyle name="Normal 5 3 4 5 2" xfId="1546" xr:uid="{57E6CB2E-B00E-4828-BCE0-090FDB0F9FC6}"/>
    <cellStyle name="Normal 5 3 4 6" xfId="748" xr:uid="{767B71CC-F63E-46C3-AD07-D3BBD8EA6D52}"/>
    <cellStyle name="Normal 5 3 4 6 2" xfId="1678" xr:uid="{EA864461-65D2-43B2-B0C3-30C8B60AE9C6}"/>
    <cellStyle name="Normal 5 3 4 7" xfId="880" xr:uid="{11A48359-688F-49C5-9380-4FA961718F67}"/>
    <cellStyle name="Normal 5 3 4 7 2" xfId="1810" xr:uid="{607BBFB9-5FF6-4AC8-BF7F-764600D8B65E}"/>
    <cellStyle name="Normal 5 3 4 8" xfId="1016" xr:uid="{614027E0-5099-43AC-B377-BD7943193531}"/>
    <cellStyle name="Normal 5 3 5" xfId="154" xr:uid="{B392D6EC-6408-4A72-B0F0-8ABCE9A5E696}"/>
    <cellStyle name="Normal 5 3 5 2" xfId="1084" xr:uid="{EDB42AB9-57C8-4A4D-9CBF-DBCC3E53331B}"/>
    <cellStyle name="Normal 5 3 6" xfId="288" xr:uid="{6E96586D-B962-4B99-8A02-7CD1E88C6855}"/>
    <cellStyle name="Normal 5 3 6 2" xfId="1218" xr:uid="{BF9029E0-C82D-44CC-A642-9FBBC45B5A17}"/>
    <cellStyle name="Normal 5 3 7" xfId="420" xr:uid="{AC18DB55-B309-4D82-8599-6CECD48EF5F7}"/>
    <cellStyle name="Normal 5 3 7 2" xfId="1350" xr:uid="{023FACEA-DF58-4307-96BA-B8D63246F5D4}"/>
    <cellStyle name="Normal 5 3 8" xfId="552" xr:uid="{858C3497-F4E0-4F08-A895-1C43D0A6D3E6}"/>
    <cellStyle name="Normal 5 3 8 2" xfId="1482" xr:uid="{9F7E9E68-ECA8-469F-9A57-040B245417B4}"/>
    <cellStyle name="Normal 5 3 9" xfId="684" xr:uid="{A0250F7E-31BD-4FF2-8A44-3444FDF840F0}"/>
    <cellStyle name="Normal 5 3 9 2" xfId="1614" xr:uid="{89B718B8-6E7C-470E-A3BE-F38A5B5C8751}"/>
    <cellStyle name="Normal 5 4" xfId="23" xr:uid="{00000000-0005-0000-0000-000029000000}"/>
    <cellStyle name="Normal 5 4 10" xfId="819" xr:uid="{8E426D6E-8FE9-4E0D-82EE-F4F57BB192A8}"/>
    <cellStyle name="Normal 5 4 10 2" xfId="1749" xr:uid="{EF12F70E-14E3-4D8B-AB19-0F296DCEDD62}"/>
    <cellStyle name="Normal 5 4 11" xfId="955" xr:uid="{6CA13109-13D5-4C1F-8971-109105B52FBB}"/>
    <cellStyle name="Normal 5 4 2" xfId="41" xr:uid="{00000000-0005-0000-0000-00002A000000}"/>
    <cellStyle name="Normal 5 4 2 10" xfId="971" xr:uid="{77B2571B-0B05-4C59-8F31-DE37BAF49EF9}"/>
    <cellStyle name="Normal 5 4 2 2" xfId="73" xr:uid="{00000000-0005-0000-0000-00002A000000}"/>
    <cellStyle name="Normal 5 4 2 2 2" xfId="137" xr:uid="{2AE3E08C-E736-4690-8B1E-F4248821756D}"/>
    <cellStyle name="Normal 5 4 2 2 2 2" xfId="271" xr:uid="{7EF13024-2778-472D-B7C1-4EC60AC28371}"/>
    <cellStyle name="Normal 5 4 2 2 2 2 2" xfId="1201" xr:uid="{9999AC24-A64D-4A0B-AA2B-5858EE7A1CAF}"/>
    <cellStyle name="Normal 5 4 2 2 2 3" xfId="403" xr:uid="{1F14A4E9-3E72-4D25-8934-5C0034579965}"/>
    <cellStyle name="Normal 5 4 2 2 2 3 2" xfId="1333" xr:uid="{BCB94037-B30F-4508-A0FE-B75C1FB131F4}"/>
    <cellStyle name="Normal 5 4 2 2 2 4" xfId="535" xr:uid="{6623559C-01C5-458F-B88F-61CEF238645B}"/>
    <cellStyle name="Normal 5 4 2 2 2 4 2" xfId="1465" xr:uid="{BCA8DBF0-2406-4D4A-A3AA-880C58EDA3F0}"/>
    <cellStyle name="Normal 5 4 2 2 2 5" xfId="667" xr:uid="{42318979-4E08-4CE0-8295-658B93BFC1BE}"/>
    <cellStyle name="Normal 5 4 2 2 2 5 2" xfId="1597" xr:uid="{1CBF78A0-D47C-4CE7-9693-8C2AD6BD5943}"/>
    <cellStyle name="Normal 5 4 2 2 2 6" xfId="799" xr:uid="{B3D29923-60FC-4492-9B31-70B57D16FCA1}"/>
    <cellStyle name="Normal 5 4 2 2 2 6 2" xfId="1729" xr:uid="{7126BB1F-6D53-4543-A6DD-8D5DF81AD88F}"/>
    <cellStyle name="Normal 5 4 2 2 2 7" xfId="931" xr:uid="{E17E91F4-A180-4FB2-A286-42D34DADEC8F}"/>
    <cellStyle name="Normal 5 4 2 2 2 7 2" xfId="1861" xr:uid="{9F14276F-7F7D-442D-A396-46FBFFB05451}"/>
    <cellStyle name="Normal 5 4 2 2 2 8" xfId="1067" xr:uid="{A33F4E9E-6C97-4F58-8C74-63AE2CDA506D}"/>
    <cellStyle name="Normal 5 4 2 2 3" xfId="207" xr:uid="{0A171B23-70D3-4B3D-A8F2-B150AB027CF8}"/>
    <cellStyle name="Normal 5 4 2 2 3 2" xfId="1137" xr:uid="{4095DB2E-B318-435D-8A79-ECB5841DED1D}"/>
    <cellStyle name="Normal 5 4 2 2 4" xfId="339" xr:uid="{7B48C62E-FDD0-4739-B034-770921E3B4BE}"/>
    <cellStyle name="Normal 5 4 2 2 4 2" xfId="1269" xr:uid="{6052D9DF-451F-4B97-B434-8BB4746D7555}"/>
    <cellStyle name="Normal 5 4 2 2 5" xfId="471" xr:uid="{BC013DFC-BFAE-4055-8943-D1072DD31DAD}"/>
    <cellStyle name="Normal 5 4 2 2 5 2" xfId="1401" xr:uid="{65912738-7298-4140-9597-6080F9989647}"/>
    <cellStyle name="Normal 5 4 2 2 6" xfId="603" xr:uid="{C09DB295-9025-44CB-BD16-D5A77F497BFB}"/>
    <cellStyle name="Normal 5 4 2 2 6 2" xfId="1533" xr:uid="{055C3D24-CDC0-41AD-B307-1F9C7A17329F}"/>
    <cellStyle name="Normal 5 4 2 2 7" xfId="735" xr:uid="{2A1E986B-CC60-405E-B391-813CF5C65916}"/>
    <cellStyle name="Normal 5 4 2 2 7 2" xfId="1665" xr:uid="{06A64C52-66E8-4DA7-A2D4-095FB58B8E9B}"/>
    <cellStyle name="Normal 5 4 2 2 8" xfId="867" xr:uid="{692D17EF-402B-4405-AD32-000DF2DB0F24}"/>
    <cellStyle name="Normal 5 4 2 2 8 2" xfId="1797" xr:uid="{1266CABD-BDD6-4C52-B10C-BCEA91ED0A17}"/>
    <cellStyle name="Normal 5 4 2 2 9" xfId="1003" xr:uid="{C3EC7DD9-72EB-41CD-A2F6-FB01AED0827B}"/>
    <cellStyle name="Normal 5 4 2 3" xfId="105" xr:uid="{514A3712-CED4-4D6D-B2C9-1ED73F2AE755}"/>
    <cellStyle name="Normal 5 4 2 3 2" xfId="239" xr:uid="{16A440EC-6ED2-4C3C-A535-27AD75DCC358}"/>
    <cellStyle name="Normal 5 4 2 3 2 2" xfId="1169" xr:uid="{59519AB4-2902-4D2B-ACD1-C4042E5282E9}"/>
    <cellStyle name="Normal 5 4 2 3 3" xfId="371" xr:uid="{51D62710-B651-4AB1-B536-47FB222D7E5F}"/>
    <cellStyle name="Normal 5 4 2 3 3 2" xfId="1301" xr:uid="{63D3D39E-B061-4848-97B8-229405329772}"/>
    <cellStyle name="Normal 5 4 2 3 4" xfId="503" xr:uid="{423EA449-9A19-481B-AA9F-2E8BEA0A4DC1}"/>
    <cellStyle name="Normal 5 4 2 3 4 2" xfId="1433" xr:uid="{1033BB18-A7DF-4DBA-AE45-0226C60CC7E6}"/>
    <cellStyle name="Normal 5 4 2 3 5" xfId="635" xr:uid="{1C964BC0-C07F-4F1E-BDEE-FA570D65A670}"/>
    <cellStyle name="Normal 5 4 2 3 5 2" xfId="1565" xr:uid="{70444007-6DAA-4C2A-8260-727D8DA66F5B}"/>
    <cellStyle name="Normal 5 4 2 3 6" xfId="767" xr:uid="{B5035784-0BC3-4561-9B8B-6FB58C19D2BA}"/>
    <cellStyle name="Normal 5 4 2 3 6 2" xfId="1697" xr:uid="{627478CC-2566-4609-B622-31C4DB339030}"/>
    <cellStyle name="Normal 5 4 2 3 7" xfId="899" xr:uid="{1E52D560-CFCF-4E5C-9EF1-664D1A1F2B51}"/>
    <cellStyle name="Normal 5 4 2 3 7 2" xfId="1829" xr:uid="{3F731886-F610-4A0C-884E-88DEA48CFBFA}"/>
    <cellStyle name="Normal 5 4 2 3 8" xfId="1035" xr:uid="{E8D741A7-23DD-402C-B017-1C4F546BC448}"/>
    <cellStyle name="Normal 5 4 2 4" xfId="175" xr:uid="{C4A410FD-B2B1-481D-9C7E-EF4095A877A0}"/>
    <cellStyle name="Normal 5 4 2 4 2" xfId="1105" xr:uid="{8D02EADE-D169-4071-B810-A5696CD00FFE}"/>
    <cellStyle name="Normal 5 4 2 5" xfId="307" xr:uid="{60DFB3A7-A1C8-4C6F-98C5-FCA79F41C915}"/>
    <cellStyle name="Normal 5 4 2 5 2" xfId="1237" xr:uid="{4B933D1B-8963-4C58-992F-E043AE1F5189}"/>
    <cellStyle name="Normal 5 4 2 6" xfId="439" xr:uid="{93095DD4-4D13-4CB9-B241-F224396455CB}"/>
    <cellStyle name="Normal 5 4 2 6 2" xfId="1369" xr:uid="{BCE4C8E9-B62A-435A-91D1-3680C8E75810}"/>
    <cellStyle name="Normal 5 4 2 7" xfId="571" xr:uid="{ABC28E2E-29F3-4356-8FC7-136A22746FF3}"/>
    <cellStyle name="Normal 5 4 2 7 2" xfId="1501" xr:uid="{EA68A62B-8A52-47E2-A7AC-5E97B244A8E8}"/>
    <cellStyle name="Normal 5 4 2 8" xfId="703" xr:uid="{865C7310-ECF1-4DB8-9E23-A267929458CB}"/>
    <cellStyle name="Normal 5 4 2 8 2" xfId="1633" xr:uid="{32EFAA7E-5EAF-42D9-A527-547DD05F1509}"/>
    <cellStyle name="Normal 5 4 2 9" xfId="835" xr:uid="{1D0B15E4-E130-4BC5-BBE4-B52FC1759C39}"/>
    <cellStyle name="Normal 5 4 2 9 2" xfId="1765" xr:uid="{B48550CB-AB73-4614-862A-60976114F9B4}"/>
    <cellStyle name="Normal 5 4 3" xfId="57" xr:uid="{00000000-0005-0000-0000-000029000000}"/>
    <cellStyle name="Normal 5 4 3 2" xfId="121" xr:uid="{F7ECE8A5-3DD2-49F8-999F-1150F61B5FCA}"/>
    <cellStyle name="Normal 5 4 3 2 2" xfId="255" xr:uid="{762DF28B-F326-4F5D-97F5-C90E8840BC63}"/>
    <cellStyle name="Normal 5 4 3 2 2 2" xfId="1185" xr:uid="{C8A2BA30-5156-42BA-BF40-7863C2C3E085}"/>
    <cellStyle name="Normal 5 4 3 2 3" xfId="387" xr:uid="{69A2E644-5FE7-4509-A36B-BA586AE2CCF9}"/>
    <cellStyle name="Normal 5 4 3 2 3 2" xfId="1317" xr:uid="{F41C4DD3-BD81-4ABD-95A5-1B5A7A6A2664}"/>
    <cellStyle name="Normal 5 4 3 2 4" xfId="519" xr:uid="{7D69B3DE-F26D-49DA-9AEF-930DA0710517}"/>
    <cellStyle name="Normal 5 4 3 2 4 2" xfId="1449" xr:uid="{3FFD8EF0-DB62-4619-94DB-37018B06512C}"/>
    <cellStyle name="Normal 5 4 3 2 5" xfId="651" xr:uid="{70827E30-5889-41F1-9088-8E7AAC4E2656}"/>
    <cellStyle name="Normal 5 4 3 2 5 2" xfId="1581" xr:uid="{BAF97837-95AC-4B49-816E-205B103B055E}"/>
    <cellStyle name="Normal 5 4 3 2 6" xfId="783" xr:uid="{C90C5B9C-4677-4FAA-80E9-A1B50BD367F7}"/>
    <cellStyle name="Normal 5 4 3 2 6 2" xfId="1713" xr:uid="{9F7595E3-8F1F-4B0D-BF10-50D28B85AA87}"/>
    <cellStyle name="Normal 5 4 3 2 7" xfId="915" xr:uid="{040F6F68-E6D3-4402-89FB-ED21FFFE499B}"/>
    <cellStyle name="Normal 5 4 3 2 7 2" xfId="1845" xr:uid="{99471499-C19F-42CE-BFB2-FA9BD621835A}"/>
    <cellStyle name="Normal 5 4 3 2 8" xfId="1051" xr:uid="{1B4418DD-6AA2-45E8-881B-3B86483C7E4E}"/>
    <cellStyle name="Normal 5 4 3 3" xfId="191" xr:uid="{89547F46-AECC-4BE4-80F1-0412BE471C6A}"/>
    <cellStyle name="Normal 5 4 3 3 2" xfId="1121" xr:uid="{71FFEC27-4DCB-47AD-AD9E-D805CF662C63}"/>
    <cellStyle name="Normal 5 4 3 4" xfId="323" xr:uid="{7A5EACDF-7DCE-4683-8D96-1848B3601F84}"/>
    <cellStyle name="Normal 5 4 3 4 2" xfId="1253" xr:uid="{2A58B6E4-6748-450F-B7DD-AA68D81ABFE5}"/>
    <cellStyle name="Normal 5 4 3 5" xfId="455" xr:uid="{1A8BA92F-2699-469F-BCA3-18873435B653}"/>
    <cellStyle name="Normal 5 4 3 5 2" xfId="1385" xr:uid="{5AB8D9FB-2F23-48F5-B564-6FD90CB5745A}"/>
    <cellStyle name="Normal 5 4 3 6" xfId="587" xr:uid="{5497B6FD-7F6C-42AC-9287-6A4ADA99EABF}"/>
    <cellStyle name="Normal 5 4 3 6 2" xfId="1517" xr:uid="{512806FE-98F0-4A50-AB8D-46DF756CBDCA}"/>
    <cellStyle name="Normal 5 4 3 7" xfId="719" xr:uid="{1BC6929C-4771-401E-A38A-EF59E5C952C5}"/>
    <cellStyle name="Normal 5 4 3 7 2" xfId="1649" xr:uid="{994525BA-CB0D-4D7B-8E82-44A9B055AA72}"/>
    <cellStyle name="Normal 5 4 3 8" xfId="851" xr:uid="{92E6BF5D-D036-4D09-83CC-D0A881ACD31B}"/>
    <cellStyle name="Normal 5 4 3 8 2" xfId="1781" xr:uid="{D6ADF67E-0D4F-4A6C-A3D1-CB6DFA67A7C3}"/>
    <cellStyle name="Normal 5 4 3 9" xfId="987" xr:uid="{FEB49920-51F1-4E25-91D2-2F86BD3F3417}"/>
    <cellStyle name="Normal 5 4 4" xfId="89" xr:uid="{436B6333-2059-4C41-AAD6-19FB643AAFBE}"/>
    <cellStyle name="Normal 5 4 4 2" xfId="223" xr:uid="{E7FA17CD-4490-42E4-A128-2E98DBC18EB0}"/>
    <cellStyle name="Normal 5 4 4 2 2" xfId="1153" xr:uid="{0A837F0A-8CA4-442E-9E72-E479C0E0B61B}"/>
    <cellStyle name="Normal 5 4 4 3" xfId="355" xr:uid="{F8AD3944-5F7A-4D56-AD17-AF667EF0F221}"/>
    <cellStyle name="Normal 5 4 4 3 2" xfId="1285" xr:uid="{DC753C22-4895-4585-9C9B-45C871BF364D}"/>
    <cellStyle name="Normal 5 4 4 4" xfId="487" xr:uid="{4031F08F-8347-4443-A20D-B269F1CD7C93}"/>
    <cellStyle name="Normal 5 4 4 4 2" xfId="1417" xr:uid="{D8BC2E91-41AD-475F-BA77-9CDC4A94DC5F}"/>
    <cellStyle name="Normal 5 4 4 5" xfId="619" xr:uid="{604B6954-E501-4370-B828-2B5A1F154F37}"/>
    <cellStyle name="Normal 5 4 4 5 2" xfId="1549" xr:uid="{92E2DE44-0B0F-49A4-A3B0-8C5C7F8C1DBF}"/>
    <cellStyle name="Normal 5 4 4 6" xfId="751" xr:uid="{E33F6251-3387-442A-9AF1-1BB8B0B1E828}"/>
    <cellStyle name="Normal 5 4 4 6 2" xfId="1681" xr:uid="{3E7101CA-B3BA-4212-ACC3-43F22579A375}"/>
    <cellStyle name="Normal 5 4 4 7" xfId="883" xr:uid="{892CC8DE-A80C-4D3B-8804-9D9659E8CF77}"/>
    <cellStyle name="Normal 5 4 4 7 2" xfId="1813" xr:uid="{97D4E37C-564C-4DC8-A147-FFA2904FEC67}"/>
    <cellStyle name="Normal 5 4 4 8" xfId="1019" xr:uid="{38AC5A15-AAC6-403C-940F-E2F6385A6A80}"/>
    <cellStyle name="Normal 5 4 5" xfId="157" xr:uid="{21ACA6D9-617F-4B4F-BC07-1D0073E036F5}"/>
    <cellStyle name="Normal 5 4 5 2" xfId="1087" xr:uid="{2E8EF24A-CE3B-4E5F-B764-1BB591FB78F2}"/>
    <cellStyle name="Normal 5 4 6" xfId="291" xr:uid="{5613A91A-7A83-4DE3-B86E-74431B0B536F}"/>
    <cellStyle name="Normal 5 4 6 2" xfId="1221" xr:uid="{A31AB91E-061F-4E47-8A6F-C718B0623BF8}"/>
    <cellStyle name="Normal 5 4 7" xfId="423" xr:uid="{BF1A94A5-1CD9-46A2-AF72-424E056995B3}"/>
    <cellStyle name="Normal 5 4 7 2" xfId="1353" xr:uid="{BE74B010-F4F8-4BD1-B170-9D2264CFBA40}"/>
    <cellStyle name="Normal 5 4 8" xfId="555" xr:uid="{4E9BDF8F-803D-4165-890F-149808B21B82}"/>
    <cellStyle name="Normal 5 4 8 2" xfId="1485" xr:uid="{76743218-053C-403B-A7C4-EBC10C173AE9}"/>
    <cellStyle name="Normal 5 4 9" xfId="687" xr:uid="{2CE59FE9-1EF2-4644-9EE9-5353D3C08884}"/>
    <cellStyle name="Normal 5 4 9 2" xfId="1617" xr:uid="{FEB8DDF3-ADCA-44F3-8BB8-0611511EA6B0}"/>
    <cellStyle name="Normal 5 5" xfId="26" xr:uid="{00000000-0005-0000-0000-00002B000000}"/>
    <cellStyle name="Normal 5 5 10" xfId="822" xr:uid="{84207162-FEF2-4B8E-ABEF-A6AE789EC013}"/>
    <cellStyle name="Normal 5 5 10 2" xfId="1752" xr:uid="{311B4DD5-11FE-484B-B132-CBDBCB3DC976}"/>
    <cellStyle name="Normal 5 5 11" xfId="958" xr:uid="{BF888198-A408-4DE2-A695-1D1E24DDF46A}"/>
    <cellStyle name="Normal 5 5 2" xfId="44" xr:uid="{00000000-0005-0000-0000-00002C000000}"/>
    <cellStyle name="Normal 5 5 2 10" xfId="974" xr:uid="{B08F4232-E4C3-48D8-8770-B58ED4657AA3}"/>
    <cellStyle name="Normal 5 5 2 2" xfId="76" xr:uid="{00000000-0005-0000-0000-00002C000000}"/>
    <cellStyle name="Normal 5 5 2 2 2" xfId="140" xr:uid="{619D13DF-0671-47E6-9B29-D6D998A14F80}"/>
    <cellStyle name="Normal 5 5 2 2 2 2" xfId="274" xr:uid="{1EF7F8A3-9912-4512-95CB-3532DA9B1480}"/>
    <cellStyle name="Normal 5 5 2 2 2 2 2" xfId="1204" xr:uid="{0C7727B7-9004-4B93-9D3D-746FEA5C1646}"/>
    <cellStyle name="Normal 5 5 2 2 2 3" xfId="406" xr:uid="{C2AACD84-D332-4F55-82C5-914ECAF2B796}"/>
    <cellStyle name="Normal 5 5 2 2 2 3 2" xfId="1336" xr:uid="{209B614C-4015-488F-B99E-20C7A6C5FC85}"/>
    <cellStyle name="Normal 5 5 2 2 2 4" xfId="538" xr:uid="{62E59927-2C2C-449F-80F8-7F8DD4F44C7B}"/>
    <cellStyle name="Normal 5 5 2 2 2 4 2" xfId="1468" xr:uid="{BBA28801-9C54-4A8C-9B44-E8E6F9B129E8}"/>
    <cellStyle name="Normal 5 5 2 2 2 5" xfId="670" xr:uid="{D8485C4F-EDE5-48EE-A37F-9169D3273569}"/>
    <cellStyle name="Normal 5 5 2 2 2 5 2" xfId="1600" xr:uid="{BE7C79B6-FFB6-4EC5-9A55-993F30504992}"/>
    <cellStyle name="Normal 5 5 2 2 2 6" xfId="802" xr:uid="{553757C3-3EE2-42A0-AB2D-40B187852688}"/>
    <cellStyle name="Normal 5 5 2 2 2 6 2" xfId="1732" xr:uid="{4744FBCC-392B-43A1-9F2B-CCC9C1558B32}"/>
    <cellStyle name="Normal 5 5 2 2 2 7" xfId="934" xr:uid="{2AA7177F-8452-4D67-B314-96D54D722075}"/>
    <cellStyle name="Normal 5 5 2 2 2 7 2" xfId="1864" xr:uid="{F33242D8-F6A6-4F14-8F3E-9BADECE80CE0}"/>
    <cellStyle name="Normal 5 5 2 2 2 8" xfId="1070" xr:uid="{DEF3A95C-2779-4DE8-98F1-DABDBDE0139B}"/>
    <cellStyle name="Normal 5 5 2 2 3" xfId="210" xr:uid="{10A31186-40B2-4A01-80D0-25ABED8F4080}"/>
    <cellStyle name="Normal 5 5 2 2 3 2" xfId="1140" xr:uid="{B60175A7-D635-4FB2-96F3-F307EE539B4D}"/>
    <cellStyle name="Normal 5 5 2 2 4" xfId="342" xr:uid="{68F6C6AA-4BD3-49BC-B0B1-525240C0516E}"/>
    <cellStyle name="Normal 5 5 2 2 4 2" xfId="1272" xr:uid="{D20224EB-F563-4883-BC69-DF3DE03D9F5B}"/>
    <cellStyle name="Normal 5 5 2 2 5" xfId="474" xr:uid="{63A6131E-49EE-4665-B49A-7BE6FD3F95D8}"/>
    <cellStyle name="Normal 5 5 2 2 5 2" xfId="1404" xr:uid="{7A9D8463-D6DC-4CD0-83C4-7CB7F80DB26E}"/>
    <cellStyle name="Normal 5 5 2 2 6" xfId="606" xr:uid="{AA6F5802-104F-48F4-92E1-B886352513EB}"/>
    <cellStyle name="Normal 5 5 2 2 6 2" xfId="1536" xr:uid="{10604D54-14E4-47A1-8668-6255D4BE899F}"/>
    <cellStyle name="Normal 5 5 2 2 7" xfId="738" xr:uid="{75E1C787-427B-4961-B542-0C1FE55B64DF}"/>
    <cellStyle name="Normal 5 5 2 2 7 2" xfId="1668" xr:uid="{3E5FD376-4146-42EB-8C34-B1A9C82E39FD}"/>
    <cellStyle name="Normal 5 5 2 2 8" xfId="870" xr:uid="{822B12B8-F0EE-41A0-B869-94B8D6126C6B}"/>
    <cellStyle name="Normal 5 5 2 2 8 2" xfId="1800" xr:uid="{B2A33BB4-7C71-420F-A77C-D51064BA5DBE}"/>
    <cellStyle name="Normal 5 5 2 2 9" xfId="1006" xr:uid="{9F0C0D41-3997-4A57-9E84-C77BD267B395}"/>
    <cellStyle name="Normal 5 5 2 3" xfId="108" xr:uid="{E153698C-FE4F-4503-AE49-585712D690C6}"/>
    <cellStyle name="Normal 5 5 2 3 2" xfId="242" xr:uid="{180A3C82-9314-48F0-908C-C30B66FD0D82}"/>
    <cellStyle name="Normal 5 5 2 3 2 2" xfId="1172" xr:uid="{F6473D0F-5D52-42BD-9E42-EFDDC8397A10}"/>
    <cellStyle name="Normal 5 5 2 3 3" xfId="374" xr:uid="{01C6E3A3-72B2-4A18-A4C3-0C3020286BE3}"/>
    <cellStyle name="Normal 5 5 2 3 3 2" xfId="1304" xr:uid="{4911F7E9-A114-4D42-9B93-A2A3C39D4A97}"/>
    <cellStyle name="Normal 5 5 2 3 4" xfId="506" xr:uid="{4DDA95B0-0AE6-47FB-87CA-3749DDCEE998}"/>
    <cellStyle name="Normal 5 5 2 3 4 2" xfId="1436" xr:uid="{18D31315-E75D-4924-9AC5-F382AEA9AA19}"/>
    <cellStyle name="Normal 5 5 2 3 5" xfId="638" xr:uid="{7051FE4D-5BF3-4710-824D-285D96EFDF57}"/>
    <cellStyle name="Normal 5 5 2 3 5 2" xfId="1568" xr:uid="{21CFE7A8-95CA-4D4D-9138-00A7AE0D46D2}"/>
    <cellStyle name="Normal 5 5 2 3 6" xfId="770" xr:uid="{82F33C90-5FD9-4004-9E88-1AACE918423D}"/>
    <cellStyle name="Normal 5 5 2 3 6 2" xfId="1700" xr:uid="{27428D50-6127-45F3-B1E6-6B4EF702D922}"/>
    <cellStyle name="Normal 5 5 2 3 7" xfId="902" xr:uid="{CCA2FB14-51EF-45D5-9846-C642EBBBD552}"/>
    <cellStyle name="Normal 5 5 2 3 7 2" xfId="1832" xr:uid="{08A004D0-9F9B-4D91-93A6-F296C9048842}"/>
    <cellStyle name="Normal 5 5 2 3 8" xfId="1038" xr:uid="{65F881A4-078B-4FD5-8DF6-12540F606E1F}"/>
    <cellStyle name="Normal 5 5 2 4" xfId="178" xr:uid="{75CD8DB9-41F6-41B5-B89A-F9DEE30F84A9}"/>
    <cellStyle name="Normal 5 5 2 4 2" xfId="1108" xr:uid="{E6051686-7D1D-47ED-9127-1087DB3131A8}"/>
    <cellStyle name="Normal 5 5 2 5" xfId="310" xr:uid="{41C5A440-FCAA-4D7A-BB6C-2F1B6041935C}"/>
    <cellStyle name="Normal 5 5 2 5 2" xfId="1240" xr:uid="{79F3B528-C439-47BD-A302-2504CCB400CB}"/>
    <cellStyle name="Normal 5 5 2 6" xfId="442" xr:uid="{371D097A-9F5C-4B13-A7AC-DCCAB4EBDB20}"/>
    <cellStyle name="Normal 5 5 2 6 2" xfId="1372" xr:uid="{608698F1-E924-4095-BB9C-6291C6F3455B}"/>
    <cellStyle name="Normal 5 5 2 7" xfId="574" xr:uid="{7D71F201-F155-4F39-A4E7-6336016A067F}"/>
    <cellStyle name="Normal 5 5 2 7 2" xfId="1504" xr:uid="{5CCD31F6-23E3-49C1-9007-3AF296067909}"/>
    <cellStyle name="Normal 5 5 2 8" xfId="706" xr:uid="{1DCE8047-45E3-4F6D-81F9-0170612E917E}"/>
    <cellStyle name="Normal 5 5 2 8 2" xfId="1636" xr:uid="{7A7E1B3C-9F15-43B2-B9EA-EBA85BFBB4BC}"/>
    <cellStyle name="Normal 5 5 2 9" xfId="838" xr:uid="{39CF0034-3A9B-4749-B858-EC764977B015}"/>
    <cellStyle name="Normal 5 5 2 9 2" xfId="1768" xr:uid="{F2B40797-6403-49AB-8052-BAE261CC4A12}"/>
    <cellStyle name="Normal 5 5 3" xfId="60" xr:uid="{00000000-0005-0000-0000-00002B000000}"/>
    <cellStyle name="Normal 5 5 3 2" xfId="124" xr:uid="{322BC53B-1266-4068-A697-78E0BF5C2E96}"/>
    <cellStyle name="Normal 5 5 3 2 2" xfId="258" xr:uid="{B2337F29-35DE-47E4-92C7-4A3F1251E3F4}"/>
    <cellStyle name="Normal 5 5 3 2 2 2" xfId="1188" xr:uid="{24E90090-06A8-4C58-A0BC-293158982FD0}"/>
    <cellStyle name="Normal 5 5 3 2 3" xfId="390" xr:uid="{6D87235E-3B64-4362-B6FD-7900424AB2A0}"/>
    <cellStyle name="Normal 5 5 3 2 3 2" xfId="1320" xr:uid="{ED1EF7A5-84E5-4F3C-A6C5-777D9354ADEC}"/>
    <cellStyle name="Normal 5 5 3 2 4" xfId="522" xr:uid="{FF7C6691-2A86-4443-BEAF-6E5361282A90}"/>
    <cellStyle name="Normal 5 5 3 2 4 2" xfId="1452" xr:uid="{4363386D-9BC3-4675-A589-3C4B818E4E26}"/>
    <cellStyle name="Normal 5 5 3 2 5" xfId="654" xr:uid="{0A347702-AF12-4598-B9F9-A30AE2E29C04}"/>
    <cellStyle name="Normal 5 5 3 2 5 2" xfId="1584" xr:uid="{65662B36-5721-46F7-B1A5-1CFF649E9EDA}"/>
    <cellStyle name="Normal 5 5 3 2 6" xfId="786" xr:uid="{68837CE6-B739-427F-8A9A-FED046D2913A}"/>
    <cellStyle name="Normal 5 5 3 2 6 2" xfId="1716" xr:uid="{2CD94AFC-4EF3-4324-895C-AB1C3D98F6E5}"/>
    <cellStyle name="Normal 5 5 3 2 7" xfId="918" xr:uid="{955EFBA7-115A-47FC-8758-C39296C402AB}"/>
    <cellStyle name="Normal 5 5 3 2 7 2" xfId="1848" xr:uid="{BBF30C66-39FE-4D19-8FC5-963D00A6278F}"/>
    <cellStyle name="Normal 5 5 3 2 8" xfId="1054" xr:uid="{32653566-DFEF-4D64-8DE9-541800E1E633}"/>
    <cellStyle name="Normal 5 5 3 3" xfId="194" xr:uid="{A1EFED14-343C-4997-9DA8-0F610263CB4D}"/>
    <cellStyle name="Normal 5 5 3 3 2" xfId="1124" xr:uid="{D2ABF50C-E99E-433B-AFEB-9CE3A3FB1D07}"/>
    <cellStyle name="Normal 5 5 3 4" xfId="326" xr:uid="{6D6E4C0E-EA29-4E0D-A345-03024724970B}"/>
    <cellStyle name="Normal 5 5 3 4 2" xfId="1256" xr:uid="{B3C330DF-A34D-4A2F-9C44-BA7A9C6FCD8B}"/>
    <cellStyle name="Normal 5 5 3 5" xfId="458" xr:uid="{FA7A860F-D728-49B6-9976-63F52E3161E8}"/>
    <cellStyle name="Normal 5 5 3 5 2" xfId="1388" xr:uid="{3A814560-1624-4FAF-B704-B8150294DAB9}"/>
    <cellStyle name="Normal 5 5 3 6" xfId="590" xr:uid="{2D90B9D9-BFD3-41CB-B27D-C309A7C81928}"/>
    <cellStyle name="Normal 5 5 3 6 2" xfId="1520" xr:uid="{8F0B352D-CCDA-4A6A-A3E1-A921FC5D49A8}"/>
    <cellStyle name="Normal 5 5 3 7" xfId="722" xr:uid="{BED7EF2D-A9EC-46AD-A275-70D735C178BF}"/>
    <cellStyle name="Normal 5 5 3 7 2" xfId="1652" xr:uid="{E9B3FCFE-03A7-4098-BD98-143C91FB2CEC}"/>
    <cellStyle name="Normal 5 5 3 8" xfId="854" xr:uid="{9E739BA8-E35B-46FE-9558-A5E023491398}"/>
    <cellStyle name="Normal 5 5 3 8 2" xfId="1784" xr:uid="{C7BA660A-D484-47F9-B4FB-240C048FCD24}"/>
    <cellStyle name="Normal 5 5 3 9" xfId="990" xr:uid="{6EB9B692-EC72-4036-8489-8F05F75C8289}"/>
    <cellStyle name="Normal 5 5 4" xfId="92" xr:uid="{0447313A-02A8-43E8-9AE3-42A58066FC28}"/>
    <cellStyle name="Normal 5 5 4 2" xfId="226" xr:uid="{8260B510-B597-4C2E-8757-C071B4A53454}"/>
    <cellStyle name="Normal 5 5 4 2 2" xfId="1156" xr:uid="{451687FF-1999-4B9C-91E5-17D40CF32CDA}"/>
    <cellStyle name="Normal 5 5 4 3" xfId="358" xr:uid="{1FCEECC8-D82E-4EC4-84F6-AE0B817E01E6}"/>
    <cellStyle name="Normal 5 5 4 3 2" xfId="1288" xr:uid="{A6E9FBD7-BEF6-4070-910F-A24850BDDEA7}"/>
    <cellStyle name="Normal 5 5 4 4" xfId="490" xr:uid="{FC6C0CD0-43A0-4439-9FAE-0969758E5163}"/>
    <cellStyle name="Normal 5 5 4 4 2" xfId="1420" xr:uid="{C3697B7A-824A-4C79-932B-101F2AA52C94}"/>
    <cellStyle name="Normal 5 5 4 5" xfId="622" xr:uid="{17F55B92-D4D5-445F-82CC-7ECB941D05D7}"/>
    <cellStyle name="Normal 5 5 4 5 2" xfId="1552" xr:uid="{7F2DAFDD-2B6A-4064-9C79-8207F887F574}"/>
    <cellStyle name="Normal 5 5 4 6" xfId="754" xr:uid="{5503D00D-08FF-43E4-A53C-B8D129E3E0D4}"/>
    <cellStyle name="Normal 5 5 4 6 2" xfId="1684" xr:uid="{266AF138-6790-4957-B3C2-F3BD65B142CE}"/>
    <cellStyle name="Normal 5 5 4 7" xfId="886" xr:uid="{AF4E7BC0-9F61-43D4-BFAC-C9B18F5FC635}"/>
    <cellStyle name="Normal 5 5 4 7 2" xfId="1816" xr:uid="{4C1A249C-8C27-48E0-8221-F3880A50D0C5}"/>
    <cellStyle name="Normal 5 5 4 8" xfId="1022" xr:uid="{3D0F9354-5C9A-405A-8761-0B29377CC6D9}"/>
    <cellStyle name="Normal 5 5 5" xfId="160" xr:uid="{FC03D8B8-E9AF-42B6-AA1C-04D08E305D58}"/>
    <cellStyle name="Normal 5 5 5 2" xfId="1090" xr:uid="{F3A42CEB-F5A9-4313-8911-1B88BCAE2819}"/>
    <cellStyle name="Normal 5 5 6" xfId="294" xr:uid="{D87D4B59-ED0D-4D94-801D-7E5D9237FAB3}"/>
    <cellStyle name="Normal 5 5 6 2" xfId="1224" xr:uid="{6E28BBB9-FE31-4E20-B151-A2A4393D1389}"/>
    <cellStyle name="Normal 5 5 7" xfId="426" xr:uid="{7D0FBE80-3967-4690-93D9-FB50D1D98E9E}"/>
    <cellStyle name="Normal 5 5 7 2" xfId="1356" xr:uid="{597F3CAE-9B2B-4BBE-A151-7F700A8B69AA}"/>
    <cellStyle name="Normal 5 5 8" xfId="558" xr:uid="{3B42C1D8-6E2E-454C-B227-43A49C3D2C60}"/>
    <cellStyle name="Normal 5 5 8 2" xfId="1488" xr:uid="{ECDD4F20-BC1F-4716-95AB-F88BC6D3A955}"/>
    <cellStyle name="Normal 5 5 9" xfId="690" xr:uid="{2803D161-46BF-448E-8A14-5A774DF49C99}"/>
    <cellStyle name="Normal 5 5 9 2" xfId="1620" xr:uid="{C29AFD28-520B-4365-8C9B-FD81E32239EF}"/>
    <cellStyle name="Normal 5 6" xfId="32" xr:uid="{00000000-0005-0000-0000-00002D000000}"/>
    <cellStyle name="Normal 5 6 10" xfId="962" xr:uid="{83B90010-1109-4D42-AC39-73EA805DF5BA}"/>
    <cellStyle name="Normal 5 6 2" xfId="64" xr:uid="{00000000-0005-0000-0000-00002D000000}"/>
    <cellStyle name="Normal 5 6 2 2" xfId="128" xr:uid="{357B7EEF-1216-4238-9B7F-CF34F3D8D108}"/>
    <cellStyle name="Normal 5 6 2 2 2" xfId="262" xr:uid="{F9AE1E64-44DD-470B-9B16-F913A47930FA}"/>
    <cellStyle name="Normal 5 6 2 2 2 2" xfId="1192" xr:uid="{82084460-4E47-4C4A-A84F-C66F51079752}"/>
    <cellStyle name="Normal 5 6 2 2 3" xfId="394" xr:uid="{F974EABE-86D4-4FDB-8435-1A67CBFC9571}"/>
    <cellStyle name="Normal 5 6 2 2 3 2" xfId="1324" xr:uid="{74050D3E-2B3E-42DC-B124-DD857CD28549}"/>
    <cellStyle name="Normal 5 6 2 2 4" xfId="526" xr:uid="{D94FA447-9AAA-4B72-8A1D-EE9675553587}"/>
    <cellStyle name="Normal 5 6 2 2 4 2" xfId="1456" xr:uid="{3EB5FBFB-35C6-4260-8696-7E52E8DB850D}"/>
    <cellStyle name="Normal 5 6 2 2 5" xfId="658" xr:uid="{90CA0447-33DA-4D9C-A253-26596F4D0A12}"/>
    <cellStyle name="Normal 5 6 2 2 5 2" xfId="1588" xr:uid="{1358FEC5-FAC2-49AD-90D8-149BE05A2EAC}"/>
    <cellStyle name="Normal 5 6 2 2 6" xfId="790" xr:uid="{DA20DF16-1208-4D03-A2E3-DD11CA0D1D43}"/>
    <cellStyle name="Normal 5 6 2 2 6 2" xfId="1720" xr:uid="{09C7C2EB-3F70-4256-AA10-EA542E352173}"/>
    <cellStyle name="Normal 5 6 2 2 7" xfId="922" xr:uid="{4FDE85E5-4021-4FB2-9015-25D44F6BDF82}"/>
    <cellStyle name="Normal 5 6 2 2 7 2" xfId="1852" xr:uid="{E36A6773-FAFE-4E9B-926B-95B62C2D4B58}"/>
    <cellStyle name="Normal 5 6 2 2 8" xfId="1058" xr:uid="{C65AE7C3-5D79-4CE7-8D34-A843EE72BE75}"/>
    <cellStyle name="Normal 5 6 2 3" xfId="198" xr:uid="{EC7B830F-848D-45A1-A6D2-CF653D233196}"/>
    <cellStyle name="Normal 5 6 2 3 2" xfId="1128" xr:uid="{23407FFD-4AF9-41DE-8429-AC6C07A53B33}"/>
    <cellStyle name="Normal 5 6 2 4" xfId="330" xr:uid="{6D327253-60A7-40DC-862B-04758A1C051B}"/>
    <cellStyle name="Normal 5 6 2 4 2" xfId="1260" xr:uid="{E82E4325-92E1-43AA-943F-23C947BDB2D2}"/>
    <cellStyle name="Normal 5 6 2 5" xfId="462" xr:uid="{589D75EC-5DA5-48BA-B447-BB852117BC8C}"/>
    <cellStyle name="Normal 5 6 2 5 2" xfId="1392" xr:uid="{F22677DA-DB5A-4477-A8D5-C4F28514AD09}"/>
    <cellStyle name="Normal 5 6 2 6" xfId="594" xr:uid="{B2F61861-8D34-4DFD-B9A9-540A2F6AA1C8}"/>
    <cellStyle name="Normal 5 6 2 6 2" xfId="1524" xr:uid="{7D73866B-69D2-4C68-84A6-9694706C4D8F}"/>
    <cellStyle name="Normal 5 6 2 7" xfId="726" xr:uid="{017B8555-EFD2-41B7-BB03-C6F443D2ADC4}"/>
    <cellStyle name="Normal 5 6 2 7 2" xfId="1656" xr:uid="{3D6753C9-DDA9-411B-9E27-59ABFED83969}"/>
    <cellStyle name="Normal 5 6 2 8" xfId="858" xr:uid="{669D1E9B-0580-447F-AE57-B85CA26FCDFD}"/>
    <cellStyle name="Normal 5 6 2 8 2" xfId="1788" xr:uid="{0F3E700E-4B82-4150-B7DF-2F51578309D1}"/>
    <cellStyle name="Normal 5 6 2 9" xfId="994" xr:uid="{9293B59E-9B60-4355-BB6F-12D35FDCBD83}"/>
    <cellStyle name="Normal 5 6 3" xfId="96" xr:uid="{3C7D4159-F1B9-464F-B5B8-0E99CE3E9FD5}"/>
    <cellStyle name="Normal 5 6 3 2" xfId="230" xr:uid="{C1867249-DD6A-4539-9AE8-28B009D66883}"/>
    <cellStyle name="Normal 5 6 3 2 2" xfId="1160" xr:uid="{3FCA3AF7-1224-49CE-ADB8-7E83D8AD5654}"/>
    <cellStyle name="Normal 5 6 3 3" xfId="362" xr:uid="{0337DD4B-A417-4B54-9D62-86CA51C0A89D}"/>
    <cellStyle name="Normal 5 6 3 3 2" xfId="1292" xr:uid="{D191F19B-EAD8-4221-A791-13CCE71E47B8}"/>
    <cellStyle name="Normal 5 6 3 4" xfId="494" xr:uid="{CC7B1E35-8FA6-47D7-8D50-7C4AA90CC20F}"/>
    <cellStyle name="Normal 5 6 3 4 2" xfId="1424" xr:uid="{7805725B-A4D9-48C8-8050-EE2FC843FF62}"/>
    <cellStyle name="Normal 5 6 3 5" xfId="626" xr:uid="{1D7D80FF-5AC8-4FF7-AC02-D2C0044F79FC}"/>
    <cellStyle name="Normal 5 6 3 5 2" xfId="1556" xr:uid="{EB243119-B729-4874-96D0-128C78A29F81}"/>
    <cellStyle name="Normal 5 6 3 6" xfId="758" xr:uid="{1EFEABF6-F3D8-4A24-B9DF-D953B1EBB877}"/>
    <cellStyle name="Normal 5 6 3 6 2" xfId="1688" xr:uid="{D16F24B2-A474-4EE8-B293-6BFFD5533089}"/>
    <cellStyle name="Normal 5 6 3 7" xfId="890" xr:uid="{3F8D3CDF-5557-4334-9F77-0CD8E704716F}"/>
    <cellStyle name="Normal 5 6 3 7 2" xfId="1820" xr:uid="{DA078E1C-8255-49FC-825A-90E48A5E37F1}"/>
    <cellStyle name="Normal 5 6 3 8" xfId="1026" xr:uid="{E5CF0898-887A-4252-BD22-052C1D27D4CE}"/>
    <cellStyle name="Normal 5 6 4" xfId="166" xr:uid="{9D751C7C-6972-4FCB-BE73-73FEF16C5327}"/>
    <cellStyle name="Normal 5 6 4 2" xfId="1096" xr:uid="{619AD9EC-B939-489D-B266-DA418BB53A5A}"/>
    <cellStyle name="Normal 5 6 5" xfId="298" xr:uid="{872FBD8D-38C7-4720-ACE6-846F6B786497}"/>
    <cellStyle name="Normal 5 6 5 2" xfId="1228" xr:uid="{30059B9B-5BDE-48DD-A856-A17B2875984A}"/>
    <cellStyle name="Normal 5 6 6" xfId="430" xr:uid="{D71B75E1-0CBB-43C1-A37C-10D86F13E298}"/>
    <cellStyle name="Normal 5 6 6 2" xfId="1360" xr:uid="{291915E7-553A-4CDC-A4AC-5F993C03F637}"/>
    <cellStyle name="Normal 5 6 7" xfId="562" xr:uid="{95B6BCA4-7613-4A60-90D1-C519744864CD}"/>
    <cellStyle name="Normal 5 6 7 2" xfId="1492" xr:uid="{4BA52805-0082-41A0-AAB6-89A3CB0ED4D4}"/>
    <cellStyle name="Normal 5 6 8" xfId="694" xr:uid="{25E36ACD-85C1-4907-BE3C-56B27F2C4A96}"/>
    <cellStyle name="Normal 5 6 8 2" xfId="1624" xr:uid="{F8A437DD-76F4-4D34-92CC-42A67444A993}"/>
    <cellStyle name="Normal 5 6 9" xfId="826" xr:uid="{7A6B8D2B-B26D-428E-BAC7-4F9A78C0F0AC}"/>
    <cellStyle name="Normal 5 6 9 2" xfId="1756" xr:uid="{B4371A23-7522-438D-9B25-735491A40B65}"/>
    <cellStyle name="Normal 5 7" xfId="48" xr:uid="{00000000-0005-0000-0000-000024000000}"/>
    <cellStyle name="Normal 5 7 2" xfId="112" xr:uid="{C1B2E1B3-C25C-4DE1-A8A8-4307AB01E666}"/>
    <cellStyle name="Normal 5 7 2 2" xfId="246" xr:uid="{1D81F982-9783-4F34-AD71-A8D42CD3515A}"/>
    <cellStyle name="Normal 5 7 2 2 2" xfId="1176" xr:uid="{D350AC03-D747-4046-BFCB-FFB2B607AD36}"/>
    <cellStyle name="Normal 5 7 2 3" xfId="378" xr:uid="{8F0F0B3B-B995-4221-8F7F-1D9ED7D8298D}"/>
    <cellStyle name="Normal 5 7 2 3 2" xfId="1308" xr:uid="{61822787-4683-4A00-9867-BBC76250D092}"/>
    <cellStyle name="Normal 5 7 2 4" xfId="510" xr:uid="{42E7C0AF-87D6-4E21-8C66-BD6B8372CF28}"/>
    <cellStyle name="Normal 5 7 2 4 2" xfId="1440" xr:uid="{F4077111-EA2B-413F-970F-B1C02F3FC948}"/>
    <cellStyle name="Normal 5 7 2 5" xfId="642" xr:uid="{1F176B3C-C026-40EC-AC39-C5965A9E625E}"/>
    <cellStyle name="Normal 5 7 2 5 2" xfId="1572" xr:uid="{EE8C888B-5C71-4202-8F7A-8C1DF0B65AF1}"/>
    <cellStyle name="Normal 5 7 2 6" xfId="774" xr:uid="{6880C02E-022C-4F02-857B-E5A2ED75048A}"/>
    <cellStyle name="Normal 5 7 2 6 2" xfId="1704" xr:uid="{7BDD15C6-3149-4358-99E0-3E732D03B74A}"/>
    <cellStyle name="Normal 5 7 2 7" xfId="906" xr:uid="{7F5E66C1-3CB2-42FC-95E3-DB5A163D60FC}"/>
    <cellStyle name="Normal 5 7 2 7 2" xfId="1836" xr:uid="{FE3D4FAE-9EBB-4956-88A1-7C2A83A5E8DA}"/>
    <cellStyle name="Normal 5 7 2 8" xfId="1042" xr:uid="{007395CE-DE49-40E0-8CC6-64892CADBA02}"/>
    <cellStyle name="Normal 5 7 3" xfId="182" xr:uid="{79C62C2C-A86D-44DD-A7CB-DE4B4C8B14A8}"/>
    <cellStyle name="Normal 5 7 3 2" xfId="1112" xr:uid="{7D51CBAC-8770-4C63-B3A8-57E40A3F37EF}"/>
    <cellStyle name="Normal 5 7 4" xfId="314" xr:uid="{938D2CE3-99C4-4F5B-A5BC-DA492077D65B}"/>
    <cellStyle name="Normal 5 7 4 2" xfId="1244" xr:uid="{198A16CB-ECD6-4081-BFD0-FB1E2346EE39}"/>
    <cellStyle name="Normal 5 7 5" xfId="446" xr:uid="{2E7FD1E3-92DB-4795-A61B-10D08A3C1A68}"/>
    <cellStyle name="Normal 5 7 5 2" xfId="1376" xr:uid="{CC76EAE3-DBE7-4D9E-9885-1350166B3A30}"/>
    <cellStyle name="Normal 5 7 6" xfId="578" xr:uid="{4BC25187-B9BF-48E9-85B9-510E250AAFC1}"/>
    <cellStyle name="Normal 5 7 6 2" xfId="1508" xr:uid="{E77D1ECA-F7E2-44BE-9F4C-71F7C42F1FF2}"/>
    <cellStyle name="Normal 5 7 7" xfId="710" xr:uid="{8AA62386-FC01-45FA-AD5F-17C8F5F31AFD}"/>
    <cellStyle name="Normal 5 7 7 2" xfId="1640" xr:uid="{34612E6F-9301-44C6-8D43-31CAEDE11EFF}"/>
    <cellStyle name="Normal 5 7 8" xfId="842" xr:uid="{89296A22-AE2B-48EF-BD99-47AC14D078B5}"/>
    <cellStyle name="Normal 5 7 8 2" xfId="1772" xr:uid="{8C8342DB-C52E-44E9-86F4-E72A09EE70E9}"/>
    <cellStyle name="Normal 5 7 9" xfId="978" xr:uid="{83426D61-2D2D-4E11-961E-EDBD9581296B}"/>
    <cellStyle name="Normal 5 8" xfId="80" xr:uid="{0049343D-9399-4947-B04F-51691B714EA1}"/>
    <cellStyle name="Normal 5 8 2" xfId="214" xr:uid="{25A608E2-B532-417F-8D6D-9C9DF07F91A4}"/>
    <cellStyle name="Normal 5 8 2 2" xfId="1144" xr:uid="{10E5BC45-8D33-418C-9654-C120D99F0721}"/>
    <cellStyle name="Normal 5 8 3" xfId="346" xr:uid="{230C0222-C185-409D-A8E2-E5516AAA5706}"/>
    <cellStyle name="Normal 5 8 3 2" xfId="1276" xr:uid="{4037899B-8C2E-4A19-B88E-EAF71CBE850B}"/>
    <cellStyle name="Normal 5 8 4" xfId="478" xr:uid="{DA67461E-A526-4B64-B68E-1772DF0F2D8B}"/>
    <cellStyle name="Normal 5 8 4 2" xfId="1408" xr:uid="{79EA2064-174E-4474-9D78-597ED153378B}"/>
    <cellStyle name="Normal 5 8 5" xfId="610" xr:uid="{5127D048-565D-44B9-A6C3-A18DB3185B9B}"/>
    <cellStyle name="Normal 5 8 5 2" xfId="1540" xr:uid="{6128A68B-9B27-463D-882B-CE3A0372FEB1}"/>
    <cellStyle name="Normal 5 8 6" xfId="742" xr:uid="{75B6D5AF-9B04-4459-9023-51666AEB5E66}"/>
    <cellStyle name="Normal 5 8 6 2" xfId="1672" xr:uid="{50418DEF-C5F7-40BB-B1E1-03DCD4702927}"/>
    <cellStyle name="Normal 5 8 7" xfId="874" xr:uid="{DB35B319-7BD1-4FF8-96A1-E70E87B8E6CD}"/>
    <cellStyle name="Normal 5 8 7 2" xfId="1804" xr:uid="{1FAB3501-FE89-407B-9435-586E273E9A5B}"/>
    <cellStyle name="Normal 5 8 8" xfId="1010" xr:uid="{49985C89-BEEB-4B1E-A41D-0FBF4514C438}"/>
    <cellStyle name="Normal 5 9" xfId="146" xr:uid="{ED9A9597-E300-48F9-A655-EC4732B9A8BD}"/>
    <cellStyle name="Normal 5 9 2" xfId="1076" xr:uid="{B13CE252-DD9A-4B3A-B6A5-191EA00B6D62}"/>
    <cellStyle name="Percent" xfId="1" builtinId="5"/>
    <cellStyle name="Percent 2" xfId="13" xr:uid="{00000000-0005-0000-0000-00002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309E2-0CC5-41D4-9FD3-E9D9CC4BBC3C}">
  <sheetPr>
    <pageSetUpPr fitToPage="1"/>
  </sheetPr>
  <dimension ref="A1:T83"/>
  <sheetViews>
    <sheetView tabSelected="1" zoomScale="82" zoomScaleNormal="82" workbookViewId="0"/>
  </sheetViews>
  <sheetFormatPr defaultRowHeight="12.75" x14ac:dyDescent="0.2"/>
  <cols>
    <col min="1" max="1" width="76.42578125" bestFit="1" customWidth="1"/>
    <col min="2" max="2" width="12.42578125" bestFit="1" customWidth="1"/>
    <col min="3" max="3" width="11.42578125" bestFit="1" customWidth="1"/>
    <col min="4" max="4" width="3" customWidth="1"/>
    <col min="5" max="5" width="14.28515625" customWidth="1"/>
    <col min="6" max="6" width="16.140625" customWidth="1"/>
    <col min="7" max="7" width="15.42578125" customWidth="1"/>
    <col min="8" max="8" width="14.7109375" customWidth="1"/>
    <col min="9" max="9" width="13.42578125" customWidth="1"/>
    <col min="10" max="10" width="13.7109375" customWidth="1"/>
    <col min="11" max="11" width="14.42578125" customWidth="1"/>
    <col min="12" max="12" width="13.5703125" customWidth="1"/>
    <col min="13" max="13" width="16.85546875" customWidth="1"/>
    <col min="14" max="14" width="13.7109375" customWidth="1"/>
    <col min="15" max="16" width="11.7109375" customWidth="1"/>
    <col min="17" max="17" width="2.7109375" customWidth="1"/>
    <col min="18" max="18" width="12.140625" style="30" customWidth="1"/>
  </cols>
  <sheetData>
    <row r="1" spans="1:18" ht="12.75" customHeight="1" x14ac:dyDescent="0.2">
      <c r="E1" s="50" t="s">
        <v>2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18" x14ac:dyDescent="0.2">
      <c r="A2" s="11" t="s">
        <v>42</v>
      </c>
      <c r="B2" s="12" t="s">
        <v>0</v>
      </c>
      <c r="C2" s="11" t="s">
        <v>1</v>
      </c>
      <c r="D2" s="11"/>
      <c r="E2" s="11" t="s">
        <v>14</v>
      </c>
      <c r="F2" s="11" t="s">
        <v>15</v>
      </c>
      <c r="G2" s="11" t="s">
        <v>16</v>
      </c>
      <c r="H2" s="11" t="s">
        <v>17</v>
      </c>
      <c r="I2" s="11" t="s">
        <v>18</v>
      </c>
      <c r="J2" s="11" t="s">
        <v>19</v>
      </c>
      <c r="K2" s="11" t="s">
        <v>20</v>
      </c>
      <c r="L2" s="11" t="s">
        <v>21</v>
      </c>
      <c r="M2" s="11" t="s">
        <v>22</v>
      </c>
      <c r="N2" s="11" t="s">
        <v>23</v>
      </c>
      <c r="O2" s="11" t="s">
        <v>24</v>
      </c>
      <c r="P2" s="11" t="s">
        <v>25</v>
      </c>
      <c r="R2" s="12" t="s">
        <v>41</v>
      </c>
    </row>
    <row r="3" spans="1:18" ht="15" x14ac:dyDescent="0.25">
      <c r="A3" s="3" t="s">
        <v>3</v>
      </c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R3" s="6"/>
    </row>
    <row r="4" spans="1:18" x14ac:dyDescent="0.2">
      <c r="A4" s="2" t="s">
        <v>4</v>
      </c>
      <c r="B4" s="7">
        <v>0</v>
      </c>
      <c r="C4" s="8" t="s">
        <v>5</v>
      </c>
      <c r="D4" s="8"/>
      <c r="E4" s="14">
        <v>0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R4" s="31">
        <f>SUM(E4:P4)</f>
        <v>0</v>
      </c>
    </row>
    <row r="5" spans="1:18" x14ac:dyDescent="0.2">
      <c r="A5" s="2" t="s">
        <v>6</v>
      </c>
      <c r="B5" s="7">
        <v>0</v>
      </c>
      <c r="C5" s="8" t="s">
        <v>5</v>
      </c>
      <c r="D5" s="8"/>
      <c r="E5" s="14">
        <v>0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R5" s="31">
        <f t="shared" ref="R5:R13" si="0">SUM(E5:P5)</f>
        <v>0</v>
      </c>
    </row>
    <row r="6" spans="1:18" x14ac:dyDescent="0.2">
      <c r="A6" s="2" t="s">
        <v>7</v>
      </c>
      <c r="B6" s="7">
        <v>0</v>
      </c>
      <c r="C6" s="8" t="s">
        <v>5</v>
      </c>
      <c r="D6" s="8"/>
      <c r="E6" s="14">
        <v>0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R6" s="31">
        <f t="shared" si="0"/>
        <v>0</v>
      </c>
    </row>
    <row r="7" spans="1:18" x14ac:dyDescent="0.2">
      <c r="A7" s="2" t="s">
        <v>8</v>
      </c>
      <c r="B7" s="7">
        <v>0</v>
      </c>
      <c r="C7" s="8" t="s">
        <v>5</v>
      </c>
      <c r="D7" s="8"/>
      <c r="E7" s="14">
        <v>0</v>
      </c>
      <c r="F7" s="14"/>
      <c r="G7" s="14"/>
      <c r="H7" s="14"/>
      <c r="I7" s="14"/>
      <c r="J7" s="14"/>
      <c r="K7" s="14"/>
      <c r="L7" s="29"/>
      <c r="M7" s="14"/>
      <c r="N7" s="14"/>
      <c r="O7" s="14"/>
      <c r="P7" s="14"/>
      <c r="R7" s="31">
        <f t="shared" si="0"/>
        <v>0</v>
      </c>
    </row>
    <row r="8" spans="1:18" x14ac:dyDescent="0.2">
      <c r="A8" s="2" t="s">
        <v>9</v>
      </c>
      <c r="B8" s="7">
        <v>0</v>
      </c>
      <c r="C8" s="8" t="s">
        <v>5</v>
      </c>
      <c r="D8" s="8"/>
      <c r="E8" s="14"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R8" s="31">
        <f t="shared" si="0"/>
        <v>0</v>
      </c>
    </row>
    <row r="9" spans="1:18" x14ac:dyDescent="0.2">
      <c r="A9" s="2" t="s">
        <v>94</v>
      </c>
      <c r="B9" s="7">
        <v>0</v>
      </c>
      <c r="C9" s="8" t="s">
        <v>5</v>
      </c>
      <c r="D9" s="8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R9" s="31">
        <f t="shared" si="0"/>
        <v>0</v>
      </c>
    </row>
    <row r="10" spans="1:18" x14ac:dyDescent="0.2">
      <c r="A10" s="2" t="s">
        <v>95</v>
      </c>
      <c r="B10" s="7">
        <v>0</v>
      </c>
      <c r="C10" s="8" t="s">
        <v>5</v>
      </c>
      <c r="D10" s="8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R10" s="31">
        <f t="shared" si="0"/>
        <v>0</v>
      </c>
    </row>
    <row r="11" spans="1:18" x14ac:dyDescent="0.2">
      <c r="A11" s="2" t="s">
        <v>49</v>
      </c>
      <c r="B11" s="9">
        <v>1</v>
      </c>
      <c r="C11" s="8" t="s">
        <v>10</v>
      </c>
      <c r="D11" s="8"/>
      <c r="E11" s="14">
        <v>0</v>
      </c>
      <c r="F11" s="14"/>
      <c r="G11" s="14"/>
      <c r="H11" s="14"/>
      <c r="I11" s="27"/>
      <c r="J11" s="14"/>
      <c r="K11" s="14"/>
      <c r="L11" s="14"/>
      <c r="M11" s="14"/>
      <c r="N11" s="14"/>
      <c r="O11" s="14"/>
      <c r="P11" s="43"/>
      <c r="R11" s="31">
        <f t="shared" si="0"/>
        <v>0</v>
      </c>
    </row>
    <row r="12" spans="1:18" x14ac:dyDescent="0.2">
      <c r="A12" s="2" t="s">
        <v>61</v>
      </c>
      <c r="B12" s="7">
        <v>20</v>
      </c>
      <c r="C12" s="8" t="s">
        <v>11</v>
      </c>
      <c r="D12" s="8"/>
      <c r="E12" s="14"/>
      <c r="F12" s="14"/>
      <c r="G12" s="14"/>
      <c r="H12" s="14"/>
      <c r="I12" s="27"/>
      <c r="J12" s="14"/>
      <c r="K12" s="14"/>
      <c r="L12" s="14"/>
      <c r="M12" s="14"/>
      <c r="N12" s="14"/>
      <c r="O12" s="14"/>
      <c r="P12" s="14"/>
      <c r="R12" s="31">
        <f t="shared" si="0"/>
        <v>0</v>
      </c>
    </row>
    <row r="13" spans="1:18" x14ac:dyDescent="0.2">
      <c r="A13" s="2" t="s">
        <v>62</v>
      </c>
      <c r="B13" s="18">
        <v>1</v>
      </c>
      <c r="C13" s="8" t="s">
        <v>11</v>
      </c>
      <c r="D13" s="8"/>
      <c r="E13" s="14"/>
      <c r="F13" s="14"/>
      <c r="G13" s="14"/>
      <c r="H13" s="14"/>
      <c r="I13" s="27"/>
      <c r="J13" s="14"/>
      <c r="K13" s="14"/>
      <c r="L13" s="14"/>
      <c r="M13" s="14"/>
      <c r="N13" s="14"/>
      <c r="O13" s="14"/>
      <c r="P13" s="14"/>
      <c r="R13" s="31">
        <f t="shared" si="0"/>
        <v>0</v>
      </c>
    </row>
    <row r="14" spans="1:18" x14ac:dyDescent="0.2">
      <c r="A14" s="2"/>
      <c r="B14" s="1"/>
      <c r="C14" s="1"/>
      <c r="D14" s="1"/>
    </row>
    <row r="15" spans="1:18" ht="15" x14ac:dyDescent="0.25">
      <c r="A15" s="3" t="s">
        <v>12</v>
      </c>
      <c r="B15" s="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R15" s="6"/>
    </row>
    <row r="16" spans="1:18" x14ac:dyDescent="0.2">
      <c r="A16" s="16" t="s">
        <v>26</v>
      </c>
      <c r="B16" s="15"/>
      <c r="C16" s="13"/>
      <c r="D16" s="13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R16" s="32"/>
    </row>
    <row r="17" spans="1:18" x14ac:dyDescent="0.2">
      <c r="A17" s="2" t="s">
        <v>63</v>
      </c>
      <c r="B17" s="7"/>
      <c r="C17" s="8" t="s">
        <v>65</v>
      </c>
      <c r="D17" s="8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R17" s="31">
        <f>SUM(E17:P17)</f>
        <v>0</v>
      </c>
    </row>
    <row r="18" spans="1:18" x14ac:dyDescent="0.2">
      <c r="A18" s="2" t="s">
        <v>64</v>
      </c>
      <c r="B18" s="7"/>
      <c r="C18" s="8" t="s">
        <v>65</v>
      </c>
      <c r="D18" s="8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R18" s="31">
        <f t="shared" ref="R18:R30" si="1">SUM(E18:P18)</f>
        <v>0</v>
      </c>
    </row>
    <row r="19" spans="1:18" x14ac:dyDescent="0.2">
      <c r="A19" s="2"/>
      <c r="B19" s="7"/>
      <c r="C19" s="8"/>
      <c r="D19" s="8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R19" s="31"/>
    </row>
    <row r="20" spans="1:18" x14ac:dyDescent="0.2">
      <c r="A20" s="2" t="s">
        <v>66</v>
      </c>
      <c r="B20" s="7"/>
      <c r="C20" s="8" t="s">
        <v>67</v>
      </c>
      <c r="D20" s="8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R20" s="31">
        <f t="shared" si="1"/>
        <v>0</v>
      </c>
    </row>
    <row r="21" spans="1:18" x14ac:dyDescent="0.2">
      <c r="A21" s="2" t="s">
        <v>68</v>
      </c>
      <c r="B21" s="7"/>
      <c r="C21" s="8" t="s">
        <v>67</v>
      </c>
      <c r="D21" s="8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R21" s="31">
        <f t="shared" si="1"/>
        <v>0</v>
      </c>
    </row>
    <row r="22" spans="1:18" x14ac:dyDescent="0.2">
      <c r="A22" s="2" t="s">
        <v>69</v>
      </c>
      <c r="B22" s="7"/>
      <c r="C22" s="8" t="s">
        <v>67</v>
      </c>
      <c r="D22" s="8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R22" s="31">
        <f t="shared" si="1"/>
        <v>0</v>
      </c>
    </row>
    <row r="23" spans="1:18" x14ac:dyDescent="0.2">
      <c r="A23" s="2" t="s">
        <v>70</v>
      </c>
      <c r="B23" s="7"/>
      <c r="C23" s="8" t="s">
        <v>67</v>
      </c>
      <c r="D23" s="8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R23" s="31">
        <f t="shared" si="1"/>
        <v>0</v>
      </c>
    </row>
    <row r="24" spans="1:18" x14ac:dyDescent="0.2">
      <c r="A24" s="2" t="s">
        <v>71</v>
      </c>
      <c r="B24" s="7"/>
      <c r="C24" s="8" t="s">
        <v>67</v>
      </c>
      <c r="D24" s="8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R24" s="31">
        <f t="shared" si="1"/>
        <v>0</v>
      </c>
    </row>
    <row r="25" spans="1:18" x14ac:dyDescent="0.2">
      <c r="A25" s="2" t="s">
        <v>90</v>
      </c>
      <c r="B25" s="7"/>
      <c r="C25" s="8" t="s">
        <v>67</v>
      </c>
      <c r="D25" s="8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R25" s="31">
        <f t="shared" si="1"/>
        <v>0</v>
      </c>
    </row>
    <row r="26" spans="1:18" x14ac:dyDescent="0.2">
      <c r="A26" s="2" t="s">
        <v>72</v>
      </c>
      <c r="B26" s="7"/>
      <c r="C26" s="8" t="s">
        <v>67</v>
      </c>
      <c r="D26" s="8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R26" s="31">
        <f t="shared" si="1"/>
        <v>0</v>
      </c>
    </row>
    <row r="27" spans="1:18" x14ac:dyDescent="0.2">
      <c r="A27" s="2" t="s">
        <v>74</v>
      </c>
      <c r="B27" s="7"/>
      <c r="C27" s="8" t="s">
        <v>67</v>
      </c>
      <c r="D27" s="8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R27" s="31">
        <f t="shared" si="1"/>
        <v>0</v>
      </c>
    </row>
    <row r="28" spans="1:18" x14ac:dyDescent="0.2">
      <c r="A28" s="2" t="s">
        <v>75</v>
      </c>
      <c r="B28" s="7"/>
      <c r="C28" s="8" t="s">
        <v>67</v>
      </c>
      <c r="D28" s="8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R28" s="31">
        <f t="shared" si="1"/>
        <v>0</v>
      </c>
    </row>
    <row r="29" spans="1:18" x14ac:dyDescent="0.2">
      <c r="A29" s="2" t="s">
        <v>88</v>
      </c>
      <c r="B29" s="7"/>
      <c r="C29" s="8" t="s">
        <v>67</v>
      </c>
      <c r="D29" s="8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R29" s="31">
        <f t="shared" ref="R29" si="2">SUM(E29:P29)</f>
        <v>0</v>
      </c>
    </row>
    <row r="30" spans="1:18" x14ac:dyDescent="0.2">
      <c r="A30" s="2" t="s">
        <v>73</v>
      </c>
      <c r="B30" s="7"/>
      <c r="C30" s="8"/>
      <c r="D30" s="8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R30" s="31">
        <f t="shared" si="1"/>
        <v>0</v>
      </c>
    </row>
    <row r="31" spans="1:18" x14ac:dyDescent="0.2">
      <c r="A31" s="16" t="s">
        <v>32</v>
      </c>
      <c r="B31" s="15"/>
      <c r="C31" s="13"/>
      <c r="D31" s="13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R31" s="32"/>
    </row>
    <row r="32" spans="1:18" x14ac:dyDescent="0.2">
      <c r="A32" s="2" t="s">
        <v>33</v>
      </c>
      <c r="B32" s="7"/>
      <c r="C32" s="8" t="s">
        <v>67</v>
      </c>
      <c r="D32" s="8"/>
      <c r="E32" s="14"/>
      <c r="F32" s="14"/>
      <c r="G32" s="14"/>
      <c r="H32" s="14"/>
      <c r="I32" s="25"/>
      <c r="J32" s="14"/>
      <c r="K32" s="14"/>
      <c r="L32" s="14"/>
      <c r="M32" s="14"/>
      <c r="N32" s="14"/>
      <c r="O32" s="14"/>
      <c r="P32" s="14"/>
      <c r="R32" s="33">
        <f>SUM(E32:P32)</f>
        <v>0</v>
      </c>
    </row>
    <row r="33" spans="1:20" x14ac:dyDescent="0.2">
      <c r="A33" s="2" t="s">
        <v>35</v>
      </c>
      <c r="B33" s="7"/>
      <c r="C33" s="8" t="s">
        <v>67</v>
      </c>
      <c r="D33" s="8"/>
      <c r="E33" s="14"/>
      <c r="F33" s="14"/>
      <c r="G33" s="14"/>
      <c r="H33" s="14"/>
      <c r="I33" s="26"/>
      <c r="J33" s="14"/>
      <c r="K33" s="14"/>
      <c r="L33" s="14"/>
      <c r="M33" s="14"/>
      <c r="N33" s="14"/>
      <c r="O33" s="14"/>
      <c r="P33" s="14"/>
      <c r="R33" s="33">
        <f t="shared" ref="R33:R34" si="3">SUM(E33:P33)</f>
        <v>0</v>
      </c>
    </row>
    <row r="34" spans="1:20" x14ac:dyDescent="0.2">
      <c r="A34" s="2" t="s">
        <v>34</v>
      </c>
      <c r="B34" s="7"/>
      <c r="C34" s="8" t="s">
        <v>67</v>
      </c>
      <c r="D34" s="8"/>
      <c r="E34" s="14"/>
      <c r="F34" s="14"/>
      <c r="G34" s="14"/>
      <c r="H34" s="14"/>
      <c r="I34" s="26"/>
      <c r="J34" s="14"/>
      <c r="K34" s="14"/>
      <c r="L34" s="14"/>
      <c r="M34" s="14"/>
      <c r="N34" s="14"/>
      <c r="O34" s="14"/>
      <c r="P34" s="14"/>
      <c r="R34" s="33">
        <f t="shared" si="3"/>
        <v>0</v>
      </c>
      <c r="T34" s="20"/>
    </row>
    <row r="35" spans="1:20" x14ac:dyDescent="0.2">
      <c r="A35" s="16" t="s">
        <v>31</v>
      </c>
      <c r="B35" s="15"/>
      <c r="C35" s="13"/>
      <c r="D35" s="13"/>
      <c r="E35" s="17">
        <f t="shared" ref="E35:J35" si="4">SUM(E32:E34)</f>
        <v>0</v>
      </c>
      <c r="F35" s="17">
        <f t="shared" si="4"/>
        <v>0</v>
      </c>
      <c r="G35" s="17">
        <f t="shared" si="4"/>
        <v>0</v>
      </c>
      <c r="H35" s="17">
        <f t="shared" si="4"/>
        <v>0</v>
      </c>
      <c r="I35" s="41">
        <f t="shared" si="4"/>
        <v>0</v>
      </c>
      <c r="J35" s="17">
        <f t="shared" si="4"/>
        <v>0</v>
      </c>
      <c r="K35" s="17">
        <f>SUM(K32:K34)</f>
        <v>0</v>
      </c>
      <c r="L35" s="17">
        <f>SUM(L32:L34)</f>
        <v>0</v>
      </c>
      <c r="M35" s="17">
        <f>SUM(M32:M34)</f>
        <v>0</v>
      </c>
      <c r="N35" s="17"/>
      <c r="O35" s="17"/>
      <c r="P35" s="17"/>
      <c r="R35" s="34"/>
    </row>
    <row r="36" spans="1:20" x14ac:dyDescent="0.2">
      <c r="A36" s="2" t="s">
        <v>28</v>
      </c>
      <c r="B36" s="7"/>
      <c r="C36" s="8" t="s">
        <v>67</v>
      </c>
      <c r="D36" s="8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R36" s="33">
        <f>SUM(E36:P36)</f>
        <v>0</v>
      </c>
    </row>
    <row r="37" spans="1:20" x14ac:dyDescent="0.2">
      <c r="A37" s="16" t="s">
        <v>76</v>
      </c>
      <c r="B37" s="15"/>
      <c r="C37" s="13"/>
      <c r="D37" s="13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R37" s="34"/>
    </row>
    <row r="38" spans="1:20" x14ac:dyDescent="0.2">
      <c r="A38" s="2" t="s">
        <v>77</v>
      </c>
      <c r="B38" s="7"/>
      <c r="C38" s="8" t="s">
        <v>65</v>
      </c>
      <c r="D38" s="8"/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/>
      <c r="M38" s="14"/>
      <c r="N38" s="14"/>
      <c r="O38" s="14"/>
      <c r="P38" s="14"/>
      <c r="R38" s="33">
        <f>SUM(E38:P38)</f>
        <v>0</v>
      </c>
    </row>
    <row r="39" spans="1:20" x14ac:dyDescent="0.2">
      <c r="A39" s="16" t="s">
        <v>78</v>
      </c>
      <c r="B39" s="15"/>
      <c r="C39" s="13"/>
      <c r="D39" s="13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R39" s="32"/>
    </row>
    <row r="40" spans="1:20" x14ac:dyDescent="0.2">
      <c r="A40" s="2" t="s">
        <v>79</v>
      </c>
      <c r="B40" s="7"/>
      <c r="C40" s="8"/>
      <c r="D40" s="8"/>
      <c r="E40" s="44">
        <v>0</v>
      </c>
      <c r="F40" s="46"/>
      <c r="G40" s="44"/>
      <c r="H40" s="44"/>
      <c r="I40" s="44"/>
      <c r="J40" s="44"/>
      <c r="K40" s="44"/>
      <c r="L40" s="44"/>
      <c r="M40" s="44"/>
      <c r="N40" s="44"/>
      <c r="O40" s="44"/>
      <c r="P40" s="44"/>
      <c r="R40" s="33">
        <f>SUM(E40:P40)</f>
        <v>0</v>
      </c>
    </row>
    <row r="41" spans="1:20" x14ac:dyDescent="0.2">
      <c r="A41" s="2" t="s">
        <v>80</v>
      </c>
      <c r="B41" s="7"/>
      <c r="C41" s="8"/>
      <c r="D41" s="8"/>
      <c r="E41" s="46">
        <v>0</v>
      </c>
      <c r="G41" s="44"/>
      <c r="H41" s="44"/>
      <c r="I41" s="44"/>
      <c r="J41" s="44"/>
      <c r="K41" s="44"/>
      <c r="L41" s="44"/>
      <c r="M41" s="44"/>
      <c r="N41" s="44"/>
      <c r="O41" s="44"/>
      <c r="P41" s="44"/>
      <c r="R41" s="33">
        <f t="shared" ref="R41:R42" si="5">SUM(E41:P41)</f>
        <v>0</v>
      </c>
    </row>
    <row r="42" spans="1:20" x14ac:dyDescent="0.2">
      <c r="A42" s="2" t="s">
        <v>81</v>
      </c>
      <c r="B42" s="7"/>
      <c r="C42" s="8"/>
      <c r="D42" s="8"/>
      <c r="E42" s="44">
        <v>0</v>
      </c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R42" s="33">
        <f t="shared" si="5"/>
        <v>0</v>
      </c>
      <c r="T42" s="20"/>
    </row>
    <row r="43" spans="1:20" x14ac:dyDescent="0.2">
      <c r="A43" s="16" t="s">
        <v>89</v>
      </c>
      <c r="B43" s="15"/>
      <c r="C43" s="13"/>
      <c r="D43" s="13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R43" s="32"/>
    </row>
    <row r="44" spans="1:20" x14ac:dyDescent="0.2">
      <c r="A44" s="2" t="s">
        <v>37</v>
      </c>
      <c r="B44" s="7"/>
      <c r="C44" s="8"/>
      <c r="D44" s="8"/>
      <c r="E44" s="45">
        <v>0</v>
      </c>
      <c r="F44" s="45"/>
      <c r="G44" s="14"/>
      <c r="H44" s="14"/>
      <c r="I44" s="14"/>
      <c r="J44" s="14"/>
      <c r="K44" s="14"/>
      <c r="L44" s="14"/>
      <c r="M44" s="14"/>
      <c r="N44" s="14"/>
      <c r="O44" s="14"/>
      <c r="P44" s="14"/>
      <c r="R44" s="33">
        <f>SUM(E44:P44)</f>
        <v>0</v>
      </c>
    </row>
    <row r="45" spans="1:20" x14ac:dyDescent="0.2">
      <c r="A45" s="2" t="s">
        <v>36</v>
      </c>
      <c r="B45" s="7"/>
      <c r="C45" s="8"/>
      <c r="D45" s="8"/>
      <c r="E45" s="45">
        <v>0</v>
      </c>
      <c r="F45" s="45"/>
      <c r="G45" s="14"/>
      <c r="H45" s="14"/>
      <c r="I45" s="14"/>
      <c r="J45" s="14"/>
      <c r="K45" s="14"/>
      <c r="L45" s="14"/>
      <c r="M45" s="14"/>
      <c r="N45" s="14"/>
      <c r="O45" s="14"/>
      <c r="P45" s="14"/>
      <c r="R45" s="33">
        <f>SUM(E45:P45)</f>
        <v>0</v>
      </c>
    </row>
    <row r="46" spans="1:20" x14ac:dyDescent="0.2">
      <c r="A46" s="2"/>
      <c r="B46" s="7"/>
      <c r="C46" s="8"/>
      <c r="D46" s="8"/>
      <c r="R46" s="35"/>
    </row>
    <row r="47" spans="1:20" x14ac:dyDescent="0.2">
      <c r="A47" s="2" t="s">
        <v>82</v>
      </c>
      <c r="B47" s="7" t="s">
        <v>13</v>
      </c>
      <c r="C47" s="8" t="s">
        <v>11</v>
      </c>
      <c r="D47" s="8"/>
      <c r="E47" s="51">
        <f>IFERROR(E22/E21,0)</f>
        <v>0</v>
      </c>
      <c r="F47" s="51">
        <f t="shared" ref="F47:P47" si="6">IFERROR(F22/F21,0)</f>
        <v>0</v>
      </c>
      <c r="G47" s="51">
        <f t="shared" si="6"/>
        <v>0</v>
      </c>
      <c r="H47" s="51">
        <f t="shared" si="6"/>
        <v>0</v>
      </c>
      <c r="I47" s="51">
        <f t="shared" si="6"/>
        <v>0</v>
      </c>
      <c r="J47" s="51">
        <f t="shared" si="6"/>
        <v>0</v>
      </c>
      <c r="K47" s="51">
        <f t="shared" si="6"/>
        <v>0</v>
      </c>
      <c r="L47" s="51">
        <f t="shared" si="6"/>
        <v>0</v>
      </c>
      <c r="M47" s="51">
        <f t="shared" si="6"/>
        <v>0</v>
      </c>
      <c r="N47" s="51">
        <f t="shared" si="6"/>
        <v>0</v>
      </c>
      <c r="O47" s="51">
        <f t="shared" si="6"/>
        <v>0</v>
      </c>
      <c r="P47" s="51">
        <f t="shared" si="6"/>
        <v>0</v>
      </c>
      <c r="R47" s="36"/>
    </row>
    <row r="48" spans="1:20" x14ac:dyDescent="0.2">
      <c r="A48" s="2" t="s">
        <v>86</v>
      </c>
      <c r="B48" s="7" t="s">
        <v>13</v>
      </c>
      <c r="C48" s="8" t="s">
        <v>11</v>
      </c>
      <c r="D48" s="8"/>
      <c r="E48" s="51">
        <f>IFERROR(E25/E24,0)</f>
        <v>0</v>
      </c>
      <c r="F48" s="51">
        <f t="shared" ref="F48:P48" si="7">IFERROR(F25/F24,0)</f>
        <v>0</v>
      </c>
      <c r="G48" s="51">
        <f t="shared" si="7"/>
        <v>0</v>
      </c>
      <c r="H48" s="51">
        <f t="shared" si="7"/>
        <v>0</v>
      </c>
      <c r="I48" s="51">
        <f t="shared" si="7"/>
        <v>0</v>
      </c>
      <c r="J48" s="51">
        <f t="shared" si="7"/>
        <v>0</v>
      </c>
      <c r="K48" s="51">
        <f t="shared" si="7"/>
        <v>0</v>
      </c>
      <c r="L48" s="51">
        <f t="shared" si="7"/>
        <v>0</v>
      </c>
      <c r="M48" s="51">
        <f t="shared" si="7"/>
        <v>0</v>
      </c>
      <c r="N48" s="51">
        <f t="shared" si="7"/>
        <v>0</v>
      </c>
      <c r="O48" s="51">
        <f t="shared" si="7"/>
        <v>0</v>
      </c>
      <c r="P48" s="51">
        <f t="shared" si="7"/>
        <v>0</v>
      </c>
      <c r="R48" s="36"/>
    </row>
    <row r="49" spans="1:18" x14ac:dyDescent="0.2">
      <c r="A49" s="2" t="s">
        <v>87</v>
      </c>
      <c r="B49" s="7" t="s">
        <v>13</v>
      </c>
      <c r="C49" s="8" t="s">
        <v>11</v>
      </c>
      <c r="D49" s="8"/>
      <c r="E49" s="51">
        <f>IFERROR(E28/E27,0)</f>
        <v>0</v>
      </c>
      <c r="F49" s="51">
        <f t="shared" ref="F49:P49" si="8">IFERROR(F28/F27,0)</f>
        <v>0</v>
      </c>
      <c r="G49" s="51">
        <f t="shared" si="8"/>
        <v>0</v>
      </c>
      <c r="H49" s="51">
        <f t="shared" si="8"/>
        <v>0</v>
      </c>
      <c r="I49" s="51">
        <f t="shared" si="8"/>
        <v>0</v>
      </c>
      <c r="J49" s="51">
        <f t="shared" si="8"/>
        <v>0</v>
      </c>
      <c r="K49" s="51">
        <f t="shared" si="8"/>
        <v>0</v>
      </c>
      <c r="L49" s="51">
        <f t="shared" si="8"/>
        <v>0</v>
      </c>
      <c r="M49" s="51">
        <f t="shared" si="8"/>
        <v>0</v>
      </c>
      <c r="N49" s="51">
        <f t="shared" si="8"/>
        <v>0</v>
      </c>
      <c r="O49" s="51">
        <f t="shared" si="8"/>
        <v>0</v>
      </c>
      <c r="P49" s="51">
        <f t="shared" si="8"/>
        <v>0</v>
      </c>
      <c r="R49" s="36"/>
    </row>
    <row r="50" spans="1:18" x14ac:dyDescent="0.2">
      <c r="A50" s="2" t="s">
        <v>27</v>
      </c>
      <c r="B50" s="10">
        <v>4.8611111111111112E-2</v>
      </c>
      <c r="C50" s="8" t="s">
        <v>11</v>
      </c>
      <c r="D50" s="8"/>
      <c r="E50" s="51">
        <f>IFERROR((E33+E34)/E32,0)</f>
        <v>0</v>
      </c>
      <c r="F50" s="51">
        <f t="shared" ref="F50:P50" si="9">IFERROR((F33+F34)/F32,0)</f>
        <v>0</v>
      </c>
      <c r="G50" s="51">
        <f t="shared" si="9"/>
        <v>0</v>
      </c>
      <c r="H50" s="51">
        <f t="shared" si="9"/>
        <v>0</v>
      </c>
      <c r="I50" s="51">
        <f t="shared" si="9"/>
        <v>0</v>
      </c>
      <c r="J50" s="51">
        <f t="shared" si="9"/>
        <v>0</v>
      </c>
      <c r="K50" s="51">
        <f t="shared" si="9"/>
        <v>0</v>
      </c>
      <c r="L50" s="51">
        <f t="shared" si="9"/>
        <v>0</v>
      </c>
      <c r="M50" s="51">
        <f t="shared" si="9"/>
        <v>0</v>
      </c>
      <c r="N50" s="51">
        <f t="shared" si="9"/>
        <v>0</v>
      </c>
      <c r="O50" s="51">
        <f t="shared" si="9"/>
        <v>0</v>
      </c>
      <c r="P50" s="51">
        <f t="shared" si="9"/>
        <v>0</v>
      </c>
      <c r="R50" s="36"/>
    </row>
    <row r="51" spans="1:18" x14ac:dyDescent="0.2">
      <c r="A51" s="2" t="s">
        <v>29</v>
      </c>
      <c r="B51" s="10" t="s">
        <v>30</v>
      </c>
      <c r="C51" s="8" t="s">
        <v>11</v>
      </c>
      <c r="D51" s="8"/>
      <c r="E51" s="51">
        <f>IFERROR(E36/(E21+E24),0)</f>
        <v>0</v>
      </c>
      <c r="F51" s="51">
        <f t="shared" ref="F51:P51" si="10">IFERROR(F36/(F21+F24),0)</f>
        <v>0</v>
      </c>
      <c r="G51" s="51">
        <f t="shared" si="10"/>
        <v>0</v>
      </c>
      <c r="H51" s="51">
        <f t="shared" si="10"/>
        <v>0</v>
      </c>
      <c r="I51" s="51">
        <f t="shared" si="10"/>
        <v>0</v>
      </c>
      <c r="J51" s="51">
        <f t="shared" si="10"/>
        <v>0</v>
      </c>
      <c r="K51" s="51">
        <f t="shared" si="10"/>
        <v>0</v>
      </c>
      <c r="L51" s="51">
        <f t="shared" si="10"/>
        <v>0</v>
      </c>
      <c r="M51" s="51">
        <f t="shared" si="10"/>
        <v>0</v>
      </c>
      <c r="N51" s="51">
        <f t="shared" si="10"/>
        <v>0</v>
      </c>
      <c r="O51" s="51">
        <f t="shared" si="10"/>
        <v>0</v>
      </c>
      <c r="P51" s="51">
        <f t="shared" si="10"/>
        <v>0</v>
      </c>
      <c r="R51" s="36"/>
    </row>
    <row r="52" spans="1:18" x14ac:dyDescent="0.2">
      <c r="A52" s="2" t="s">
        <v>38</v>
      </c>
      <c r="B52" s="7" t="s">
        <v>83</v>
      </c>
      <c r="C52" s="8" t="s">
        <v>11</v>
      </c>
      <c r="D52" s="8"/>
      <c r="E52" s="52">
        <f>IFERROR(E17/E45,0)</f>
        <v>0</v>
      </c>
      <c r="F52" s="52">
        <f t="shared" ref="F52:P52" si="11">IFERROR(F17/F45,0)</f>
        <v>0</v>
      </c>
      <c r="G52" s="52">
        <f t="shared" si="11"/>
        <v>0</v>
      </c>
      <c r="H52" s="52">
        <f t="shared" si="11"/>
        <v>0</v>
      </c>
      <c r="I52" s="52">
        <f t="shared" si="11"/>
        <v>0</v>
      </c>
      <c r="J52" s="52">
        <f t="shared" si="11"/>
        <v>0</v>
      </c>
      <c r="K52" s="52">
        <f t="shared" si="11"/>
        <v>0</v>
      </c>
      <c r="L52" s="52">
        <f t="shared" si="11"/>
        <v>0</v>
      </c>
      <c r="M52" s="52">
        <f t="shared" si="11"/>
        <v>0</v>
      </c>
      <c r="N52" s="52">
        <f t="shared" si="11"/>
        <v>0</v>
      </c>
      <c r="O52" s="52">
        <f t="shared" si="11"/>
        <v>0</v>
      </c>
      <c r="P52" s="52">
        <f t="shared" si="11"/>
        <v>0</v>
      </c>
      <c r="R52" s="37"/>
    </row>
    <row r="53" spans="1:18" x14ac:dyDescent="0.2">
      <c r="A53" s="2" t="s">
        <v>40</v>
      </c>
      <c r="B53" s="7"/>
      <c r="C53" s="8"/>
      <c r="D53" s="8"/>
      <c r="E53" s="52">
        <f>IFERROR(E30/E44,0)</f>
        <v>0</v>
      </c>
      <c r="F53" s="52">
        <f t="shared" ref="F53:P53" si="12">IFERROR(F30/F44,0)</f>
        <v>0</v>
      </c>
      <c r="G53" s="52">
        <f t="shared" si="12"/>
        <v>0</v>
      </c>
      <c r="H53" s="52">
        <f t="shared" si="12"/>
        <v>0</v>
      </c>
      <c r="I53" s="52">
        <f t="shared" si="12"/>
        <v>0</v>
      </c>
      <c r="J53" s="52">
        <f t="shared" si="12"/>
        <v>0</v>
      </c>
      <c r="K53" s="52">
        <f t="shared" si="12"/>
        <v>0</v>
      </c>
      <c r="L53" s="52">
        <f t="shared" si="12"/>
        <v>0</v>
      </c>
      <c r="M53" s="52">
        <f t="shared" si="12"/>
        <v>0</v>
      </c>
      <c r="N53" s="52">
        <f t="shared" si="12"/>
        <v>0</v>
      </c>
      <c r="O53" s="52">
        <f t="shared" si="12"/>
        <v>0</v>
      </c>
      <c r="P53" s="52">
        <f t="shared" si="12"/>
        <v>0</v>
      </c>
      <c r="R53" s="36"/>
    </row>
    <row r="54" spans="1:18" x14ac:dyDescent="0.2">
      <c r="A54" s="2" t="s">
        <v>39</v>
      </c>
      <c r="B54" s="7" t="s">
        <v>84</v>
      </c>
      <c r="C54" s="8" t="s">
        <v>5</v>
      </c>
      <c r="D54" s="8"/>
      <c r="E54" s="23"/>
      <c r="F54" s="23"/>
      <c r="G54" s="14"/>
      <c r="H54" s="14"/>
      <c r="I54" s="14"/>
      <c r="J54" s="14"/>
      <c r="K54" s="14"/>
      <c r="L54" s="14"/>
      <c r="M54" s="14"/>
      <c r="N54" s="14"/>
      <c r="O54" s="14"/>
      <c r="P54" s="14"/>
      <c r="R54" s="33">
        <f t="shared" ref="R54" si="13">SUM(E54:P54)</f>
        <v>0</v>
      </c>
    </row>
    <row r="55" spans="1:18" x14ac:dyDescent="0.2">
      <c r="A55" s="2" t="s">
        <v>85</v>
      </c>
      <c r="B55" s="18">
        <v>0.02</v>
      </c>
      <c r="C55" s="8" t="s">
        <v>11</v>
      </c>
      <c r="D55" s="8"/>
      <c r="E55" s="23"/>
      <c r="F55" s="23"/>
      <c r="G55" s="14"/>
      <c r="H55" s="14"/>
      <c r="I55" s="14"/>
      <c r="J55" s="14"/>
      <c r="K55" s="14"/>
      <c r="L55" s="14"/>
      <c r="M55" s="14"/>
      <c r="N55" s="14"/>
      <c r="O55" s="14"/>
      <c r="P55" s="14"/>
      <c r="R55" s="33"/>
    </row>
    <row r="56" spans="1:18" ht="15" x14ac:dyDescent="0.25">
      <c r="A56" s="3" t="s">
        <v>50</v>
      </c>
      <c r="B56" s="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R56" s="6"/>
    </row>
    <row r="57" spans="1:18" x14ac:dyDescent="0.2">
      <c r="A57" s="2" t="s">
        <v>51</v>
      </c>
      <c r="B57" s="1"/>
      <c r="C57" s="1"/>
      <c r="D57" s="1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R57" s="33">
        <f>SUM(E57:P57)</f>
        <v>0</v>
      </c>
    </row>
    <row r="58" spans="1:18" x14ac:dyDescent="0.2">
      <c r="A58" s="2" t="s">
        <v>52</v>
      </c>
      <c r="B58" s="1"/>
      <c r="C58" s="1"/>
      <c r="D58" s="1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R58" s="33">
        <f t="shared" ref="R58:R65" si="14">SUM(E58:P58)</f>
        <v>0</v>
      </c>
    </row>
    <row r="59" spans="1:18" x14ac:dyDescent="0.2">
      <c r="A59" s="2" t="s">
        <v>53</v>
      </c>
      <c r="B59" s="1"/>
      <c r="C59" s="1"/>
      <c r="D59" s="1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R59" s="33">
        <f t="shared" si="14"/>
        <v>0</v>
      </c>
    </row>
    <row r="60" spans="1:18" x14ac:dyDescent="0.2">
      <c r="A60" s="2" t="s">
        <v>60</v>
      </c>
      <c r="B60" s="1"/>
      <c r="C60" s="1"/>
      <c r="D60" s="1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R60" s="33">
        <f t="shared" si="14"/>
        <v>0</v>
      </c>
    </row>
    <row r="61" spans="1:18" x14ac:dyDescent="0.2">
      <c r="A61" s="2" t="s">
        <v>54</v>
      </c>
      <c r="B61" s="1"/>
      <c r="C61" s="1"/>
      <c r="D61" s="1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R61" s="33">
        <f t="shared" si="14"/>
        <v>0</v>
      </c>
    </row>
    <row r="62" spans="1:18" x14ac:dyDescent="0.2">
      <c r="A62" s="2" t="s">
        <v>55</v>
      </c>
      <c r="B62" s="18">
        <v>0.01</v>
      </c>
      <c r="C62" s="1"/>
      <c r="D62" s="1"/>
      <c r="E62" s="14">
        <v>0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R62" s="33">
        <f t="shared" si="14"/>
        <v>0</v>
      </c>
    </row>
    <row r="63" spans="1:18" x14ac:dyDescent="0.2">
      <c r="A63" s="2" t="s">
        <v>56</v>
      </c>
      <c r="B63" s="24">
        <v>0</v>
      </c>
      <c r="C63" s="1"/>
      <c r="D63" s="1"/>
      <c r="E63" s="14">
        <v>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R63" s="33">
        <f t="shared" si="14"/>
        <v>0</v>
      </c>
    </row>
    <row r="64" spans="1:18" x14ac:dyDescent="0.2">
      <c r="A64" s="2" t="s">
        <v>91</v>
      </c>
      <c r="B64" s="24"/>
      <c r="C64" s="1"/>
      <c r="D64" s="1"/>
      <c r="E64" s="14">
        <v>0</v>
      </c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R64" s="33">
        <f t="shared" si="14"/>
        <v>0</v>
      </c>
    </row>
    <row r="65" spans="1:19" x14ac:dyDescent="0.2">
      <c r="A65" s="2" t="s">
        <v>92</v>
      </c>
      <c r="B65" s="24"/>
      <c r="C65" s="1"/>
      <c r="D65" s="1"/>
      <c r="E65" s="14">
        <v>0</v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R65" s="33">
        <f t="shared" si="14"/>
        <v>0</v>
      </c>
    </row>
    <row r="66" spans="1:19" ht="15" x14ac:dyDescent="0.25">
      <c r="A66" s="3" t="s">
        <v>57</v>
      </c>
      <c r="B66" s="6"/>
      <c r="C66" s="4"/>
      <c r="D66" s="4"/>
      <c r="E66" s="4"/>
      <c r="F66" s="4"/>
      <c r="G66" s="4"/>
      <c r="H66" s="4"/>
      <c r="I66" s="4"/>
      <c r="J66" s="42" t="s">
        <v>59</v>
      </c>
      <c r="K66" s="4"/>
      <c r="L66" s="4"/>
      <c r="M66" s="4"/>
      <c r="N66" s="4"/>
      <c r="O66" s="4"/>
      <c r="P66" s="4"/>
      <c r="R66" s="6"/>
    </row>
    <row r="67" spans="1:19" s="22" customFormat="1" x14ac:dyDescent="0.2">
      <c r="A67" s="2" t="s">
        <v>93</v>
      </c>
      <c r="B67" s="18"/>
      <c r="C67" s="8"/>
      <c r="D67" s="8"/>
      <c r="R67" s="38"/>
    </row>
    <row r="68" spans="1:19" s="22" customFormat="1" x14ac:dyDescent="0.2">
      <c r="A68" s="2" t="s">
        <v>43</v>
      </c>
      <c r="B68" s="18"/>
      <c r="C68" s="8"/>
      <c r="D68" s="8"/>
      <c r="R68" s="38"/>
    </row>
    <row r="69" spans="1:19" s="22" customFormat="1" x14ac:dyDescent="0.2">
      <c r="A69" s="2" t="s">
        <v>44</v>
      </c>
      <c r="B69" s="18"/>
      <c r="D69" s="8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1"/>
      <c r="R69" s="39">
        <f>SUM(E69:P69)</f>
        <v>0</v>
      </c>
      <c r="S69" s="1"/>
    </row>
    <row r="70" spans="1:19" s="22" customFormat="1" x14ac:dyDescent="0.2">
      <c r="A70" s="2" t="s">
        <v>58</v>
      </c>
      <c r="B70" s="18"/>
      <c r="D70" s="8"/>
      <c r="E70" s="47"/>
      <c r="F70" s="47"/>
      <c r="G70" s="47"/>
      <c r="H70" s="48"/>
      <c r="I70" s="28"/>
      <c r="J70" s="28"/>
      <c r="K70" s="28"/>
      <c r="L70" s="28"/>
      <c r="M70" s="28"/>
      <c r="N70" s="28"/>
      <c r="O70" s="28"/>
      <c r="P70" s="28"/>
      <c r="Q70" s="1"/>
      <c r="R70" s="40">
        <f>SUM(E70:P70)</f>
        <v>0</v>
      </c>
      <c r="S70" s="1"/>
    </row>
    <row r="71" spans="1:19" s="22" customFormat="1" x14ac:dyDescent="0.2">
      <c r="A71" s="2" t="s">
        <v>45</v>
      </c>
      <c r="B71" s="18"/>
      <c r="D71" s="8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1"/>
      <c r="R71" s="24"/>
      <c r="S71" s="1"/>
    </row>
    <row r="72" spans="1:19" s="22" customFormat="1" x14ac:dyDescent="0.2">
      <c r="A72" s="2" t="s">
        <v>44</v>
      </c>
      <c r="B72" s="18"/>
      <c r="D72" s="8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1"/>
      <c r="R72" s="39">
        <f>SUM(E72:P72)</f>
        <v>0</v>
      </c>
      <c r="S72" s="1"/>
    </row>
    <row r="73" spans="1:19" s="22" customFormat="1" x14ac:dyDescent="0.2">
      <c r="A73" s="2" t="s">
        <v>58</v>
      </c>
      <c r="B73" s="18"/>
      <c r="D73" s="8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1"/>
      <c r="R73" s="40">
        <f>SUM(E73:P73)</f>
        <v>0</v>
      </c>
      <c r="S73" s="1"/>
    </row>
    <row r="74" spans="1:19" s="22" customFormat="1" x14ac:dyDescent="0.2">
      <c r="A74" s="2" t="s">
        <v>46</v>
      </c>
      <c r="B74" s="18"/>
      <c r="D74" s="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24"/>
      <c r="S74" s="1"/>
    </row>
    <row r="75" spans="1:19" s="22" customFormat="1" x14ac:dyDescent="0.2">
      <c r="A75" s="2" t="s">
        <v>44</v>
      </c>
      <c r="B75" s="18"/>
      <c r="D75" s="8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1"/>
      <c r="R75" s="39">
        <f>SUM(E75:P75)</f>
        <v>0</v>
      </c>
      <c r="S75" s="1"/>
    </row>
    <row r="76" spans="1:19" s="22" customFormat="1" x14ac:dyDescent="0.2">
      <c r="A76" s="2" t="s">
        <v>58</v>
      </c>
      <c r="B76" s="18"/>
      <c r="D76" s="8"/>
      <c r="E76" s="49"/>
      <c r="F76" s="49"/>
      <c r="G76" s="49"/>
      <c r="H76" s="49"/>
      <c r="I76" s="23"/>
      <c r="J76" s="23"/>
      <c r="K76" s="23"/>
      <c r="L76" s="23"/>
      <c r="M76" s="23"/>
      <c r="N76" s="23"/>
      <c r="O76" s="23"/>
      <c r="P76" s="23"/>
      <c r="Q76" s="1"/>
      <c r="R76" s="40">
        <f>SUM(E76:P76)</f>
        <v>0</v>
      </c>
      <c r="S76" s="1"/>
    </row>
    <row r="77" spans="1:19" s="22" customFormat="1" x14ac:dyDescent="0.2">
      <c r="A77" s="2" t="s">
        <v>47</v>
      </c>
      <c r="B77" s="18"/>
      <c r="D77" s="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24"/>
      <c r="S77" s="1"/>
    </row>
    <row r="78" spans="1:19" s="22" customFormat="1" x14ac:dyDescent="0.2">
      <c r="A78" s="2" t="s">
        <v>44</v>
      </c>
      <c r="B78" s="18"/>
      <c r="D78" s="8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1"/>
      <c r="R78" s="39">
        <f>SUM(E78:P78)</f>
        <v>0</v>
      </c>
      <c r="S78" s="1"/>
    </row>
    <row r="79" spans="1:19" s="22" customFormat="1" x14ac:dyDescent="0.2">
      <c r="A79" s="2" t="s">
        <v>58</v>
      </c>
      <c r="B79" s="18"/>
      <c r="D79" s="8"/>
      <c r="E79" s="47"/>
      <c r="F79" s="47"/>
      <c r="G79" s="47"/>
      <c r="H79" s="47"/>
      <c r="I79" s="28"/>
      <c r="J79" s="28"/>
      <c r="K79" s="28"/>
      <c r="L79" s="28"/>
      <c r="M79" s="28"/>
      <c r="N79" s="28"/>
      <c r="O79" s="28"/>
      <c r="P79" s="28"/>
      <c r="Q79" s="1"/>
      <c r="R79" s="40">
        <f>SUM(E79:P79)</f>
        <v>0</v>
      </c>
      <c r="S79" s="1"/>
    </row>
    <row r="80" spans="1:19" s="22" customFormat="1" x14ac:dyDescent="0.2">
      <c r="A80" s="2" t="s">
        <v>48</v>
      </c>
      <c r="B80" s="18"/>
      <c r="D80" s="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24"/>
      <c r="S80" s="1"/>
    </row>
    <row r="81" spans="1:19" s="22" customFormat="1" x14ac:dyDescent="0.2">
      <c r="A81" s="2" t="s">
        <v>44</v>
      </c>
      <c r="B81" s="18"/>
      <c r="D81" s="8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1"/>
      <c r="R81" s="39">
        <f>P3</f>
        <v>0</v>
      </c>
      <c r="S81" s="1"/>
    </row>
    <row r="82" spans="1:19" s="22" customFormat="1" x14ac:dyDescent="0.2">
      <c r="A82" s="2" t="s">
        <v>58</v>
      </c>
      <c r="B82" s="18"/>
      <c r="D82" s="8"/>
      <c r="E82" s="49"/>
      <c r="F82" s="49"/>
      <c r="G82" s="49"/>
      <c r="H82" s="49"/>
      <c r="I82" s="23"/>
      <c r="J82" s="23"/>
      <c r="K82" s="23"/>
      <c r="L82" s="23"/>
      <c r="M82" s="23"/>
      <c r="N82" s="23"/>
      <c r="O82" s="23"/>
      <c r="P82" s="23"/>
      <c r="Q82" s="1"/>
      <c r="R82" s="40">
        <f>SUM(E82:P82)</f>
        <v>0</v>
      </c>
      <c r="S82" s="1"/>
    </row>
    <row r="83" spans="1:19" s="22" customFormat="1" x14ac:dyDescent="0.2">
      <c r="A83" s="2"/>
      <c r="R83" s="19"/>
    </row>
  </sheetData>
  <mergeCells count="1">
    <mergeCell ref="E1:P1"/>
  </mergeCells>
  <pageMargins left="0.7" right="0.7" top="0.75" bottom="0.75" header="0.3" footer="0.3"/>
  <pageSetup paperSize="17" scale="63" orientation="landscape" r:id="rId1"/>
</worksheet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Monthly Tracked Metrics</vt:lpstr>
    </vt:vector>
  </TitlesOfParts>
  <Company>Jacobs Canada,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Smart</dc:creator>
  <cp:lastModifiedBy>Bentley, Michelle SCAN-DRP/S/2</cp:lastModifiedBy>
  <cp:lastPrinted>2019-02-28T13:59:45Z</cp:lastPrinted>
  <dcterms:created xsi:type="dcterms:W3CDTF">2012-03-28T13:44:57Z</dcterms:created>
  <dcterms:modified xsi:type="dcterms:W3CDTF">2026-02-17T14:45:11Z</dcterms:modified>
</cp:coreProperties>
</file>