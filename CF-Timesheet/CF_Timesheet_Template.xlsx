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  <sheet name="Reference" sheetId="2" state="visible" r:id="rId2"/>
    <sheet name="Work Orders" sheetId="3" state="visible" r:id="rId3"/>
    <sheet name="_OP" sheetId="4" state="hidden" r:id="rId4"/>
    <sheet name="FAQ" sheetId="5" state="visible" r:id="rId5"/>
  </sheets>
  <definedNames>
    <definedName name="WO_20000563">_OP!$A$2:$A$4</definedName>
    <definedName name="WO_40011104">_OP!$B$2:$B$2</definedName>
    <definedName name="WO_40011112">_OP!$C$2:$C$2</definedName>
    <definedName name="WO_40011116">_OP!$D$2:$D$2</definedName>
    <definedName name="WO_40011117">_OP!$E$2:$E$2</definedName>
    <definedName name="WO_40011123">_OP!$F$2:$F$2</definedName>
    <definedName name="WO_40011128">_OP!$G$2:$G$2</definedName>
    <definedName name="WO_40011133">_OP!$H$2:$H$2</definedName>
    <definedName name="WO_40011136">_OP!$I$2:$I$2</definedName>
    <definedName name="WO_40011137">_OP!$J$2:$J$2</definedName>
    <definedName name="WO_40011141">_OP!$K$2:$K$2</definedName>
    <definedName name="WO_40011143">_OP!$L$2:$L$2</definedName>
    <definedName name="WO_40011148">_OP!$M$2:$M$15</definedName>
    <definedName name="WO_40011180">_OP!$N$2:$N$2</definedName>
    <definedName name="WO_40011187">_OP!$O$2:$O$2</definedName>
    <definedName name="WO_40011193">_OP!$P$2:$P$2</definedName>
    <definedName name="WO_40011195">_OP!$Q$2:$Q$2</definedName>
    <definedName name="WO_40011204">_OP!$R$2:$R$2</definedName>
    <definedName name="WO_40011212">_OP!$S$2:$S$2</definedName>
    <definedName name="WO_40011214">_OP!$T$2:$T$2</definedName>
    <definedName name="WO_40011221">_OP!$U$2:$U$2</definedName>
    <definedName name="WO_40011275">_OP!$V$2:$V$2</definedName>
    <definedName name="WO_40011340">_OP!$W$2:$W$2</definedName>
    <definedName name="WO_40011687">_OP!$X$2:$X$3</definedName>
    <definedName name="WO_40011725">_OP!$Y$2:$Y$2</definedName>
    <definedName name="WO_40012304">_OP!$Z$2:$Z$3</definedName>
    <definedName name="WO_40012416">_OP!$AA$2:$AA$2</definedName>
    <definedName name="WO_40012452">_OP!$AB$2:$AB$3</definedName>
    <definedName name="WO_40012698">_OP!$AC$2:$AC$2</definedName>
    <definedName name="WO_40012709">_OP!$AD$2:$AD$2</definedName>
    <definedName name="WO_40012745">_OP!$AE$2:$AE$2</definedName>
    <definedName name="WO_40012841">_OP!$AF$2:$AF$5</definedName>
    <definedName name="WO_40012858">_OP!$AG$2:$AG$2</definedName>
    <definedName name="WO_60009672">_OP!$AH$2:$AH$3</definedName>
    <definedName name="WO_60009689">_OP!$AI$2:$AI$2</definedName>
    <definedName name="WO_60009975">_OP!$AJ$2:$AJ$2</definedName>
    <definedName name="WO_60010151">_OP!$AK$2:$AK$2</definedName>
    <definedName name="WO_60010684">_OP!$AL$2:$AL$2</definedName>
    <definedName name="WO_60010769">_OP!$AM$2:$AM$2</definedName>
    <definedName name="WO_60015208">_OP!$AN$2:$AN$2</definedName>
    <definedName name="WO_60041037">_OP!$AO$2:$AO$2</definedName>
    <definedName name="WO_60043945">_OP!$AP$2:$AP$9</definedName>
    <definedName name="WO_60043985">_OP!$AQ$2:$AQ$8</definedName>
    <definedName name="WO_60043993">_OP!$AR$2:$AR$8</definedName>
    <definedName name="VendorNames">Reference!$C$3:$C$53</definedName>
    <definedName name="EmpNames">Reference!$E$3:$E$403</definedName>
    <definedName name="TradeNames">Reference!$I$3:$I$203</definedName>
    <definedName name="PONames">Reference!$K$3:$K$303</definedName>
    <definedName name="ShiftList">Reference!$M$3:$M$4</definedName>
    <definedName name="LocList">Reference!$N$3:$N$5</definedName>
    <definedName name="WONames">'Work Orders'!$A$3:$A$46</definedName>
    <definedName name="WOTable">'Work Orders'!$A$3:$B$46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18">
    <font>
      <name val="Calibri"/>
      <family val="2"/>
      <color theme="1"/>
      <sz val="11"/>
      <scheme val="minor"/>
    </font>
    <font>
      <name val="Calibri"/>
      <b val="1"/>
      <color rgb="00015846"/>
      <sz val="20"/>
    </font>
    <font>
      <name val="Calibri"/>
      <color rgb="006B7A77"/>
      <sz val="10"/>
    </font>
    <font>
      <name val="Calibri"/>
      <b val="1"/>
      <color rgb="00B7791F"/>
      <sz val="9"/>
    </font>
    <font>
      <name val="Calibri"/>
      <b val="1"/>
      <color rgb="00FFFFFF"/>
      <sz val="11"/>
    </font>
    <font>
      <name val="Calibri"/>
      <b val="1"/>
      <color rgb="006B7A77"/>
      <sz val="8"/>
    </font>
    <font>
      <name val="Calibri"/>
      <b val="1"/>
      <color rgb="001F2A28"/>
      <sz val="12"/>
    </font>
    <font>
      <name val="Calibri"/>
      <color rgb="001F2A28"/>
      <sz val="11"/>
    </font>
    <font>
      <name val="Calibri"/>
      <b val="1"/>
      <color rgb="00FFFFFF"/>
      <sz val="9.5"/>
    </font>
    <font>
      <name val="Calibri"/>
      <color rgb="001F2A28"/>
      <sz val="10"/>
    </font>
    <font>
      <name val="Calibri"/>
      <b val="1"/>
      <color rgb="001F2A28"/>
      <sz val="11"/>
    </font>
    <font>
      <name val="Calibri"/>
      <b val="1"/>
      <color rgb="00CDE8E2"/>
      <sz val="8"/>
    </font>
    <font>
      <name val="Calibri"/>
      <b val="1"/>
      <color rgb="00FFFFFF"/>
      <sz val="9"/>
    </font>
    <font>
      <name val="Calibri"/>
      <b val="1"/>
      <color rgb="009AA7A4"/>
      <sz val="8"/>
    </font>
    <font>
      <name val="Calibri"/>
      <i val="1"/>
      <color rgb="009AA7A4"/>
      <sz val="9"/>
    </font>
    <font>
      <name val="Calibri"/>
      <b val="1"/>
      <color rgb="001F2A28"/>
      <sz val="9"/>
    </font>
    <font>
      <name val="Calibri"/>
      <b val="1"/>
      <color rgb="00015846"/>
      <sz val="16"/>
    </font>
    <font>
      <name val="Calibri"/>
      <b val="1"/>
      <color rgb="0000C7B1"/>
      <sz val="12"/>
    </font>
  </fonts>
  <fills count="10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015846"/>
      </patternFill>
    </fill>
    <fill>
      <patternFill patternType="solid">
        <fgColor rgb="00FFF3CB"/>
      </patternFill>
    </fill>
    <fill>
      <patternFill patternType="solid">
        <fgColor rgb="00EDF1F0"/>
      </patternFill>
    </fill>
    <fill>
      <patternFill patternType="solid">
        <fgColor rgb="000A6E5A"/>
      </patternFill>
    </fill>
    <fill>
      <patternFill patternType="solid">
        <fgColor rgb="00E8F3F0"/>
      </patternFill>
    </fill>
    <fill>
      <patternFill patternType="solid">
        <fgColor rgb="0000C7B1"/>
      </patternFill>
    </fill>
    <fill>
      <patternFill patternType="solid">
        <fgColor rgb="00F6FAF9"/>
      </patternFill>
    </fill>
  </fills>
  <borders count="5">
    <border>
      <left/>
      <right/>
      <top/>
      <bottom/>
      <diagonal/>
    </border>
    <border>
      <left style="thin">
        <color rgb="00D5DEDC"/>
      </left>
      <right style="thin">
        <color rgb="00D5DEDC"/>
      </right>
      <top style="thin">
        <color rgb="00D5DEDC"/>
      </top>
      <bottom style="medium">
        <color rgb="00F1C232"/>
      </bottom>
    </border>
    <border>
      <left style="thin">
        <color rgb="00D5DEDC"/>
      </left>
      <right style="thin">
        <color rgb="00D5DEDC"/>
      </right>
      <top style="thin">
        <color rgb="00D5DEDC"/>
      </top>
      <bottom style="medium">
        <color rgb="00C9D3D1"/>
      </bottom>
    </border>
    <border>
      <left style="thin">
        <color rgb="00D5DEDC"/>
      </left>
      <right style="thin">
        <color rgb="00D5DEDC"/>
      </right>
      <top style="thin">
        <color rgb="00D5DEDC"/>
      </top>
      <bottom style="thin">
        <color rgb="00D5DEDC"/>
      </bottom>
    </border>
    <border>
      <left style="thin">
        <color rgb="00FFFFFF"/>
      </left>
      <right style="thin">
        <color rgb="00FFFFFF"/>
      </right>
      <bottom style="thin">
        <color rgb="00FFFFF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2" fillId="2" borderId="0" pivotButton="0" quotePrefix="0" xfId="0"/>
    <xf numFmtId="0" fontId="4" fillId="3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bottom" indent="1"/>
    </xf>
    <xf numFmtId="0" fontId="6" fillId="4" borderId="1" applyAlignment="1" applyProtection="1" pivotButton="0" quotePrefix="0" xfId="0">
      <alignment horizontal="left" vertical="center" indent="1"/>
      <protection locked="0" hidden="0"/>
    </xf>
    <xf numFmtId="164" fontId="7" fillId="4" borderId="1" applyAlignment="1" applyProtection="1" pivotButton="0" quotePrefix="0" xfId="0">
      <alignment horizontal="left" vertical="center" indent="1"/>
      <protection locked="0" hidden="0"/>
    </xf>
    <xf numFmtId="0" fontId="7" fillId="4" borderId="1" applyAlignment="1" applyProtection="1" pivotButton="0" quotePrefix="0" xfId="0">
      <alignment horizontal="left" vertical="center" indent="1"/>
      <protection locked="0" hidden="0"/>
    </xf>
    <xf numFmtId="0" fontId="7" fillId="5" borderId="2" applyAlignment="1" pivotButton="0" quotePrefix="0" xfId="0">
      <alignment horizontal="left" vertical="center" indent="1"/>
    </xf>
    <xf numFmtId="0" fontId="4" fillId="6" borderId="0" applyAlignment="1" pivotButton="0" quotePrefix="0" xfId="0">
      <alignment horizontal="left" vertical="center" indent="1"/>
    </xf>
    <xf numFmtId="0" fontId="8" fillId="6" borderId="0" applyAlignment="1" pivotButton="0" quotePrefix="0" xfId="0">
      <alignment horizontal="left" vertical="center" indent="1"/>
    </xf>
    <xf numFmtId="0" fontId="8" fillId="6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left" vertical="center" indent="1"/>
    </xf>
    <xf numFmtId="165" fontId="9" fillId="7" borderId="3" applyAlignment="1" pivotButton="0" quotePrefix="0" xfId="0">
      <alignment horizontal="center" vertical="center"/>
    </xf>
    <xf numFmtId="0" fontId="4" fillId="3" borderId="0" applyAlignment="1" pivotButton="0" quotePrefix="0" xfId="0">
      <alignment horizontal="right" vertical="center" indent="1"/>
    </xf>
    <xf numFmtId="165" fontId="10" fillId="8" borderId="3" applyAlignment="1" pivotButton="0" quotePrefix="0" xfId="0">
      <alignment horizontal="center" vertical="center"/>
    </xf>
    <xf numFmtId="0" fontId="10" fillId="4" borderId="1" applyAlignment="1" applyProtection="1" pivotButton="0" quotePrefix="0" xfId="0">
      <alignment horizontal="left" vertical="center" indent="1"/>
      <protection locked="0" hidden="0"/>
    </xf>
    <xf numFmtId="165" fontId="4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right" vertical="center"/>
    </xf>
    <xf numFmtId="0" fontId="0" fillId="3" borderId="0" pivotButton="0" quotePrefix="0" xfId="0"/>
    <xf numFmtId="0" fontId="12" fillId="6" borderId="4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/>
    </xf>
    <xf numFmtId="0" fontId="9" fillId="4" borderId="3" applyAlignment="1" applyProtection="1" pivotButton="0" quotePrefix="0" xfId="0">
      <alignment horizontal="left" vertical="center" indent="1"/>
      <protection locked="0" hidden="0"/>
    </xf>
    <xf numFmtId="0" fontId="9" fillId="4" borderId="3" applyAlignment="1" applyProtection="1" pivotButton="0" quotePrefix="0" xfId="0">
      <alignment horizontal="left" vertical="center" wrapText="1" indent="1"/>
      <protection locked="0" hidden="0"/>
    </xf>
    <xf numFmtId="0" fontId="9" fillId="4" borderId="3" applyAlignment="1" applyProtection="1" pivotButton="0" quotePrefix="0" xfId="0">
      <alignment horizontal="center" vertical="center"/>
      <protection locked="0" hidden="0"/>
    </xf>
    <xf numFmtId="165" fontId="2" fillId="5" borderId="3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165" fontId="2" fillId="9" borderId="3" applyAlignment="1" pivotButton="0" quotePrefix="0" xfId="0">
      <alignment horizontal="center" vertical="center"/>
    </xf>
    <xf numFmtId="0" fontId="0" fillId="0" borderId="3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7C3"/>
        </patternFill>
      </fill>
    </dxf>
    <dxf>
      <fill>
        <patternFill patternType="solid">
          <fgColor rgb="00FCE4A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200150" cy="704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N95"/>
  <sheetViews>
    <sheetView showGridLines="0" workbookViewId="0">
      <selection activeCell="A1" sqref="A1"/>
    </sheetView>
  </sheetViews>
  <sheetFormatPr baseColWidth="8" defaultRowHeight="15"/>
  <cols>
    <col hidden="1" width="2.5" customWidth="1" min="1" max="1"/>
    <col width="22" customWidth="1" min="2" max="2"/>
    <col width="25" customWidth="1" min="3" max="3"/>
    <col width="12" customWidth="1" min="4" max="4"/>
    <col width="11" customWidth="1" min="5" max="5"/>
    <col width="7" customWidth="1" min="6" max="6"/>
    <col width="7" customWidth="1" min="7" max="7"/>
    <col width="8" customWidth="1" min="8" max="8"/>
    <col width="14" customWidth="1" min="9" max="9"/>
    <col width="9" customWidth="1" min="10" max="10"/>
    <col width="26" customWidth="1" min="11" max="11"/>
    <col width="2" customWidth="1" min="12" max="12"/>
    <col width="32" customWidth="1" min="13" max="13"/>
    <col hidden="1" width="26" customWidth="1" min="14" max="14"/>
  </cols>
  <sheetData>
    <row r="1" ht="2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6" customHeight="1">
      <c r="A2" s="1" t="n"/>
      <c r="B2" s="1" t="n"/>
      <c r="C2" s="1" t="n"/>
      <c r="D2" s="2" t="inlineStr">
        <is>
          <t>TURNAROUND TIME ENTRY</t>
        </is>
      </c>
      <c r="J2" s="1" t="n"/>
      <c r="K2" s="1" t="n"/>
      <c r="L2" s="1" t="n"/>
      <c r="M2" s="3" t="inlineStr">
        <is>
          <t>Fill yellow cells • collapse PO sections with the − buttons on the left</t>
        </is>
      </c>
    </row>
    <row r="3" ht="18" customHeight="1">
      <c r="A3" s="1" t="n"/>
      <c r="B3" s="1" t="n"/>
      <c r="C3" s="1" t="n"/>
      <c r="D3" s="4" t="inlineStr">
        <is>
          <t>CF Industries  •  Shop / Fab</t>
        </is>
      </c>
      <c r="J3" s="1" t="n"/>
      <c r="K3" s="1" t="n"/>
      <c r="L3" s="1" t="n"/>
      <c r="M3" s="1" t="n"/>
      <c r="N3" s="1" t="n"/>
    </row>
    <row r="4" ht="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 ht="22" customHeight="1">
      <c r="B5" s="5" t="inlineStr">
        <is>
          <t>TIMESHEET HEADER</t>
        </is>
      </c>
    </row>
    <row r="6" ht="13" customHeight="1">
      <c r="B6" s="6" t="inlineStr">
        <is>
          <t>VENDOR  (NAME - ID)</t>
        </is>
      </c>
      <c r="E6" s="6" t="inlineStr">
        <is>
          <t>DATE</t>
        </is>
      </c>
      <c r="H6" s="6" t="inlineStr">
        <is>
          <t>SHIFT</t>
        </is>
      </c>
      <c r="J6" s="6" t="inlineStr">
        <is>
          <t>CLIENT</t>
        </is>
      </c>
    </row>
    <row r="7" ht="24" customHeight="1">
      <c r="B7" s="7" t="inlineStr"/>
      <c r="E7" s="8" t="inlineStr"/>
      <c r="H7" s="9" t="inlineStr"/>
      <c r="J7" s="10" t="inlineStr">
        <is>
          <t>CF Industries</t>
        </is>
      </c>
    </row>
    <row r="9" ht="22" customHeight="1">
      <c r="B9" s="11" t="inlineStr">
        <is>
          <t>SUMMARY  —  hours by PO</t>
        </is>
      </c>
    </row>
    <row r="10" ht="18" customHeight="1">
      <c r="B10" s="12" t="inlineStr">
        <is>
          <t>PO / Job</t>
        </is>
      </c>
      <c r="F10" s="13" t="inlineStr">
        <is>
          <t>RT</t>
        </is>
      </c>
      <c r="G10" s="13" t="inlineStr">
        <is>
          <t>DT</t>
        </is>
      </c>
      <c r="H10" s="13" t="inlineStr">
        <is>
          <t>Total</t>
        </is>
      </c>
      <c r="I10" s="13" t="inlineStr">
        <is>
          <t>Entries</t>
        </is>
      </c>
    </row>
    <row r="11" ht="16" customHeight="1">
      <c r="B11" s="14">
        <f>IF(C19="","(unused PO section 1)",C19)</f>
        <v/>
      </c>
      <c r="F11" s="15">
        <f>F19</f>
        <v/>
      </c>
      <c r="G11" s="15">
        <f>G19</f>
        <v/>
      </c>
      <c r="H11" s="15">
        <f>H19</f>
        <v/>
      </c>
      <c r="I11" s="15">
        <f>COUNTIF(B21:B30,"?*")</f>
        <v/>
      </c>
    </row>
    <row r="12" ht="16" customHeight="1">
      <c r="B12" s="14">
        <f>IF(C32="","(unused PO section 2)",C32)</f>
        <v/>
      </c>
      <c r="F12" s="15">
        <f>F32</f>
        <v/>
      </c>
      <c r="G12" s="15">
        <f>G32</f>
        <v/>
      </c>
      <c r="H12" s="15">
        <f>H32</f>
        <v/>
      </c>
      <c r="I12" s="15">
        <f>COUNTIF(B34:B43,"?*")</f>
        <v/>
      </c>
    </row>
    <row r="13" ht="16" customHeight="1">
      <c r="B13" s="14">
        <f>IF(C45="","(unused PO section 3)",C45)</f>
        <v/>
      </c>
      <c r="F13" s="15">
        <f>F45</f>
        <v/>
      </c>
      <c r="G13" s="15">
        <f>G45</f>
        <v/>
      </c>
      <c r="H13" s="15">
        <f>H45</f>
        <v/>
      </c>
      <c r="I13" s="15">
        <f>COUNTIF(B47:B56,"?*")</f>
        <v/>
      </c>
    </row>
    <row r="14" ht="16" customHeight="1">
      <c r="B14" s="14">
        <f>IF(C58="","(unused PO section 4)",C58)</f>
        <v/>
      </c>
      <c r="F14" s="15">
        <f>F58</f>
        <v/>
      </c>
      <c r="G14" s="15">
        <f>G58</f>
        <v/>
      </c>
      <c r="H14" s="15">
        <f>H58</f>
        <v/>
      </c>
      <c r="I14" s="15">
        <f>COUNTIF(B60:B69,"?*")</f>
        <v/>
      </c>
    </row>
    <row r="15" ht="16" customHeight="1">
      <c r="B15" s="14">
        <f>IF(C71="","(unused PO section 5)",C71)</f>
        <v/>
      </c>
      <c r="F15" s="15">
        <f>F71</f>
        <v/>
      </c>
      <c r="G15" s="15">
        <f>G71</f>
        <v/>
      </c>
      <c r="H15" s="15">
        <f>H71</f>
        <v/>
      </c>
      <c r="I15" s="15">
        <f>COUNTIF(B73:B82,"?*")</f>
        <v/>
      </c>
    </row>
    <row r="16" ht="16" customHeight="1">
      <c r="B16" s="14">
        <f>IF(C84="","(unused PO section 6)",C84)</f>
        <v/>
      </c>
      <c r="F16" s="15">
        <f>F84</f>
        <v/>
      </c>
      <c r="G16" s="15">
        <f>G84</f>
        <v/>
      </c>
      <c r="H16" s="15">
        <f>H84</f>
        <v/>
      </c>
      <c r="I16" s="15">
        <f>COUNTIF(B86:B95,"?*")</f>
        <v/>
      </c>
    </row>
    <row r="17" ht="20" customHeight="1">
      <c r="B17" s="16" t="inlineStr">
        <is>
          <t>GRAND TOTAL</t>
        </is>
      </c>
      <c r="F17" s="17">
        <f>SUM(F11:F16)</f>
        <v/>
      </c>
      <c r="G17" s="17">
        <f>SUM(G11:G16)</f>
        <v/>
      </c>
      <c r="H17" s="17">
        <f>SUM(H11:H16)</f>
        <v/>
      </c>
      <c r="I17" s="17" t="n"/>
    </row>
    <row r="19" ht="22" customHeight="1">
      <c r="B19" s="5" t="inlineStr">
        <is>
          <t>PO ▸</t>
        </is>
      </c>
      <c r="C19" s="18" t="n"/>
      <c r="F19" s="19">
        <f>SUM(F21:F30)</f>
        <v/>
      </c>
      <c r="G19" s="19">
        <f>SUM(G21:G30)</f>
        <v/>
      </c>
      <c r="H19" s="19">
        <f>SUM(H21:H30)</f>
        <v/>
      </c>
      <c r="I19" s="20" t="inlineStr">
        <is>
          <t>section total ▸</t>
        </is>
      </c>
      <c r="J19" s="21" t="n"/>
      <c r="K19" s="21" t="n"/>
    </row>
    <row r="20" outlineLevel="1" ht="26" customHeight="1">
      <c r="B20" s="22" t="inlineStr">
        <is>
          <t>Employee Name</t>
        </is>
      </c>
      <c r="C20" s="22" t="inlineStr">
        <is>
          <t>Trade / Position</t>
        </is>
      </c>
      <c r="D20" s="22" t="inlineStr">
        <is>
          <t>WO ID</t>
        </is>
      </c>
      <c r="E20" s="22" t="inlineStr">
        <is>
          <t>OP Step</t>
        </is>
      </c>
      <c r="F20" s="22" t="inlineStr">
        <is>
          <t>RT
Hrs</t>
        </is>
      </c>
      <c r="G20" s="22" t="inlineStr">
        <is>
          <t>DT
Hrs</t>
        </is>
      </c>
      <c r="H20" s="22" t="inlineStr">
        <is>
          <t>Total
Hrs</t>
        </is>
      </c>
      <c r="I20" s="22" t="inlineStr">
        <is>
          <t>Work Location</t>
        </is>
      </c>
      <c r="J20" s="22" t="inlineStr">
        <is>
          <t>Offsite
Hrs</t>
        </is>
      </c>
      <c r="K20" s="22" t="inlineStr">
        <is>
          <t>Notes</t>
        </is>
      </c>
      <c r="M20" s="23" t="inlineStr">
        <is>
          <t>WO Name (reference only)</t>
        </is>
      </c>
    </row>
    <row r="21" outlineLevel="1" ht="22" customHeight="1">
      <c r="A21" t="inlineStr">
        <is>
          <t>B0</t>
        </is>
      </c>
      <c r="B21" s="24" t="n"/>
      <c r="C21" s="25" t="n"/>
      <c r="D21" s="26" t="n"/>
      <c r="E21" s="26" t="n"/>
      <c r="F21" s="26" t="n"/>
      <c r="G21" s="26" t="n"/>
      <c r="H21" s="27">
        <f>IF(AND(F21="",G21=""),"",N(F21)+N(G21))</f>
        <v/>
      </c>
      <c r="I21" s="24" t="n"/>
      <c r="J21" s="26" t="n"/>
      <c r="K21" s="25" t="n"/>
      <c r="M21" s="28">
        <f>IFERROR(IF(D21="","",VLOOKUP(D21,WOTable,2,FALSE)),"")</f>
        <v/>
      </c>
      <c r="N21">
        <f>IF(OR(D21="",E21=""),"","WO"&amp;D21&amp;"OP"&amp;E21)</f>
        <v/>
      </c>
    </row>
    <row r="22" outlineLevel="1" ht="22" customHeight="1">
      <c r="A22" t="inlineStr">
        <is>
          <t>B0</t>
        </is>
      </c>
      <c r="B22" s="24" t="n"/>
      <c r="C22" s="25" t="n"/>
      <c r="D22" s="26" t="n"/>
      <c r="E22" s="26" t="n"/>
      <c r="F22" s="26" t="n"/>
      <c r="G22" s="26" t="n"/>
      <c r="H22" s="29">
        <f>IF(AND(F22="",G22=""),"",N(F22)+N(G22))</f>
        <v/>
      </c>
      <c r="I22" s="24" t="n"/>
      <c r="J22" s="26" t="n"/>
      <c r="K22" s="25" t="n"/>
      <c r="M22" s="28">
        <f>IFERROR(IF(D22="","",VLOOKUP(D22,WOTable,2,FALSE)),"")</f>
        <v/>
      </c>
      <c r="N22">
        <f>IF(OR(D22="",E22=""),"","WO"&amp;D22&amp;"OP"&amp;E22)</f>
        <v/>
      </c>
    </row>
    <row r="23" outlineLevel="1" ht="22" customHeight="1">
      <c r="A23" t="inlineStr">
        <is>
          <t>B0</t>
        </is>
      </c>
      <c r="B23" s="24" t="n"/>
      <c r="C23" s="25" t="n"/>
      <c r="D23" s="26" t="n"/>
      <c r="E23" s="26" t="n"/>
      <c r="F23" s="26" t="n"/>
      <c r="G23" s="26" t="n"/>
      <c r="H23" s="27">
        <f>IF(AND(F23="",G23=""),"",N(F23)+N(G23))</f>
        <v/>
      </c>
      <c r="I23" s="24" t="n"/>
      <c r="J23" s="26" t="n"/>
      <c r="K23" s="25" t="n"/>
      <c r="M23" s="28">
        <f>IFERROR(IF(D23="","",VLOOKUP(D23,WOTable,2,FALSE)),"")</f>
        <v/>
      </c>
      <c r="N23">
        <f>IF(OR(D23="",E23=""),"","WO"&amp;D23&amp;"OP"&amp;E23)</f>
        <v/>
      </c>
    </row>
    <row r="24" outlineLevel="1" ht="22" customHeight="1">
      <c r="A24" t="inlineStr">
        <is>
          <t>B0</t>
        </is>
      </c>
      <c r="B24" s="24" t="n"/>
      <c r="C24" s="25" t="n"/>
      <c r="D24" s="26" t="n"/>
      <c r="E24" s="26" t="n"/>
      <c r="F24" s="26" t="n"/>
      <c r="G24" s="26" t="n"/>
      <c r="H24" s="29">
        <f>IF(AND(F24="",G24=""),"",N(F24)+N(G24))</f>
        <v/>
      </c>
      <c r="I24" s="24" t="n"/>
      <c r="J24" s="26" t="n"/>
      <c r="K24" s="25" t="n"/>
      <c r="M24" s="28">
        <f>IFERROR(IF(D24="","",VLOOKUP(D24,WOTable,2,FALSE)),"")</f>
        <v/>
      </c>
      <c r="N24">
        <f>IF(OR(D24="",E24=""),"","WO"&amp;D24&amp;"OP"&amp;E24)</f>
        <v/>
      </c>
    </row>
    <row r="25" outlineLevel="1" ht="22" customHeight="1">
      <c r="A25" t="inlineStr">
        <is>
          <t>B0</t>
        </is>
      </c>
      <c r="B25" s="24" t="n"/>
      <c r="C25" s="25" t="n"/>
      <c r="D25" s="26" t="n"/>
      <c r="E25" s="26" t="n"/>
      <c r="F25" s="26" t="n"/>
      <c r="G25" s="26" t="n"/>
      <c r="H25" s="27">
        <f>IF(AND(F25="",G25=""),"",N(F25)+N(G25))</f>
        <v/>
      </c>
      <c r="I25" s="24" t="n"/>
      <c r="J25" s="26" t="n"/>
      <c r="K25" s="25" t="n"/>
      <c r="M25" s="28">
        <f>IFERROR(IF(D25="","",VLOOKUP(D25,WOTable,2,FALSE)),"")</f>
        <v/>
      </c>
      <c r="N25">
        <f>IF(OR(D25="",E25=""),"","WO"&amp;D25&amp;"OP"&amp;E25)</f>
        <v/>
      </c>
    </row>
    <row r="26" outlineLevel="1" ht="22" customHeight="1">
      <c r="A26" t="inlineStr">
        <is>
          <t>B0</t>
        </is>
      </c>
      <c r="B26" s="24" t="n"/>
      <c r="C26" s="25" t="n"/>
      <c r="D26" s="26" t="n"/>
      <c r="E26" s="26" t="n"/>
      <c r="F26" s="26" t="n"/>
      <c r="G26" s="26" t="n"/>
      <c r="H26" s="29">
        <f>IF(AND(F26="",G26=""),"",N(F26)+N(G26))</f>
        <v/>
      </c>
      <c r="I26" s="24" t="n"/>
      <c r="J26" s="26" t="n"/>
      <c r="K26" s="25" t="n"/>
      <c r="M26" s="28">
        <f>IFERROR(IF(D26="","",VLOOKUP(D26,WOTable,2,FALSE)),"")</f>
        <v/>
      </c>
      <c r="N26">
        <f>IF(OR(D26="",E26=""),"","WO"&amp;D26&amp;"OP"&amp;E26)</f>
        <v/>
      </c>
    </row>
    <row r="27" outlineLevel="1" ht="22" customHeight="1">
      <c r="A27" t="inlineStr">
        <is>
          <t>B0</t>
        </is>
      </c>
      <c r="B27" s="24" t="n"/>
      <c r="C27" s="25" t="n"/>
      <c r="D27" s="26" t="n"/>
      <c r="E27" s="26" t="n"/>
      <c r="F27" s="26" t="n"/>
      <c r="G27" s="26" t="n"/>
      <c r="H27" s="27">
        <f>IF(AND(F27="",G27=""),"",N(F27)+N(G27))</f>
        <v/>
      </c>
      <c r="I27" s="24" t="n"/>
      <c r="J27" s="26" t="n"/>
      <c r="K27" s="25" t="n"/>
      <c r="M27" s="28">
        <f>IFERROR(IF(D27="","",VLOOKUP(D27,WOTable,2,FALSE)),"")</f>
        <v/>
      </c>
      <c r="N27">
        <f>IF(OR(D27="",E27=""),"","WO"&amp;D27&amp;"OP"&amp;E27)</f>
        <v/>
      </c>
    </row>
    <row r="28" outlineLevel="1" ht="22" customHeight="1">
      <c r="A28" t="inlineStr">
        <is>
          <t>B0</t>
        </is>
      </c>
      <c r="B28" s="24" t="n"/>
      <c r="C28" s="25" t="n"/>
      <c r="D28" s="26" t="n"/>
      <c r="E28" s="26" t="n"/>
      <c r="F28" s="26" t="n"/>
      <c r="G28" s="26" t="n"/>
      <c r="H28" s="29">
        <f>IF(AND(F28="",G28=""),"",N(F28)+N(G28))</f>
        <v/>
      </c>
      <c r="I28" s="24" t="n"/>
      <c r="J28" s="26" t="n"/>
      <c r="K28" s="25" t="n"/>
      <c r="M28" s="28">
        <f>IFERROR(IF(D28="","",VLOOKUP(D28,WOTable,2,FALSE)),"")</f>
        <v/>
      </c>
      <c r="N28">
        <f>IF(OR(D28="",E28=""),"","WO"&amp;D28&amp;"OP"&amp;E28)</f>
        <v/>
      </c>
    </row>
    <row r="29" outlineLevel="1" ht="22" customHeight="1">
      <c r="A29" t="inlineStr">
        <is>
          <t>B0</t>
        </is>
      </c>
      <c r="B29" s="24" t="n"/>
      <c r="C29" s="25" t="n"/>
      <c r="D29" s="26" t="n"/>
      <c r="E29" s="26" t="n"/>
      <c r="F29" s="26" t="n"/>
      <c r="G29" s="26" t="n"/>
      <c r="H29" s="27">
        <f>IF(AND(F29="",G29=""),"",N(F29)+N(G29))</f>
        <v/>
      </c>
      <c r="I29" s="24" t="n"/>
      <c r="J29" s="26" t="n"/>
      <c r="K29" s="25" t="n"/>
      <c r="M29" s="28">
        <f>IFERROR(IF(D29="","",VLOOKUP(D29,WOTable,2,FALSE)),"")</f>
        <v/>
      </c>
      <c r="N29">
        <f>IF(OR(D29="",E29=""),"","WO"&amp;D29&amp;"OP"&amp;E29)</f>
        <v/>
      </c>
    </row>
    <row r="30" outlineLevel="1" ht="22" customHeight="1">
      <c r="A30" t="inlineStr">
        <is>
          <t>B0</t>
        </is>
      </c>
      <c r="B30" s="24" t="n"/>
      <c r="C30" s="25" t="n"/>
      <c r="D30" s="26" t="n"/>
      <c r="E30" s="26" t="n"/>
      <c r="F30" s="26" t="n"/>
      <c r="G30" s="26" t="n"/>
      <c r="H30" s="29">
        <f>IF(AND(F30="",G30=""),"",N(F30)+N(G30))</f>
        <v/>
      </c>
      <c r="I30" s="24" t="n"/>
      <c r="J30" s="26" t="n"/>
      <c r="K30" s="25" t="n"/>
      <c r="M30" s="28">
        <f>IFERROR(IF(D30="","",VLOOKUP(D30,WOTable,2,FALSE)),"")</f>
        <v/>
      </c>
      <c r="N30">
        <f>IF(OR(D30="",E30=""),"","WO"&amp;D30&amp;"OP"&amp;E30)</f>
        <v/>
      </c>
    </row>
    <row r="32" ht="22" customHeight="1">
      <c r="B32" s="5" t="inlineStr">
        <is>
          <t>PO ▸</t>
        </is>
      </c>
      <c r="C32" s="18" t="n"/>
      <c r="F32" s="19">
        <f>SUM(F34:F43)</f>
        <v/>
      </c>
      <c r="G32" s="19">
        <f>SUM(G34:G43)</f>
        <v/>
      </c>
      <c r="H32" s="19">
        <f>SUM(H34:H43)</f>
        <v/>
      </c>
      <c r="I32" s="20" t="inlineStr">
        <is>
          <t>section total ▸</t>
        </is>
      </c>
      <c r="J32" s="21" t="n"/>
      <c r="K32" s="21" t="n"/>
    </row>
    <row r="33" outlineLevel="1" ht="26" customHeight="1">
      <c r="B33" s="22" t="inlineStr">
        <is>
          <t>Employee Name</t>
        </is>
      </c>
      <c r="C33" s="22" t="inlineStr">
        <is>
          <t>Trade / Position</t>
        </is>
      </c>
      <c r="D33" s="22" t="inlineStr">
        <is>
          <t>WO ID</t>
        </is>
      </c>
      <c r="E33" s="22" t="inlineStr">
        <is>
          <t>OP Step</t>
        </is>
      </c>
      <c r="F33" s="22" t="inlineStr">
        <is>
          <t>RT
Hrs</t>
        </is>
      </c>
      <c r="G33" s="22" t="inlineStr">
        <is>
          <t>DT
Hrs</t>
        </is>
      </c>
      <c r="H33" s="22" t="inlineStr">
        <is>
          <t>Total
Hrs</t>
        </is>
      </c>
      <c r="I33" s="22" t="inlineStr">
        <is>
          <t>Work Location</t>
        </is>
      </c>
      <c r="J33" s="22" t="inlineStr">
        <is>
          <t>Offsite
Hrs</t>
        </is>
      </c>
      <c r="K33" s="22" t="inlineStr">
        <is>
          <t>Notes</t>
        </is>
      </c>
      <c r="M33" s="23" t="inlineStr">
        <is>
          <t>WO Name (reference only)</t>
        </is>
      </c>
    </row>
    <row r="34" outlineLevel="1" ht="22" customHeight="1">
      <c r="A34" t="inlineStr">
        <is>
          <t>B1</t>
        </is>
      </c>
      <c r="B34" s="24" t="n"/>
      <c r="C34" s="25" t="n"/>
      <c r="D34" s="26" t="n"/>
      <c r="E34" s="26" t="n"/>
      <c r="F34" s="26" t="n"/>
      <c r="G34" s="26" t="n"/>
      <c r="H34" s="27">
        <f>IF(AND(F34="",G34=""),"",N(F34)+N(G34))</f>
        <v/>
      </c>
      <c r="I34" s="24" t="n"/>
      <c r="J34" s="26" t="n"/>
      <c r="K34" s="25" t="n"/>
      <c r="M34" s="28">
        <f>IFERROR(IF(D34="","",VLOOKUP(D34,WOTable,2,FALSE)),"")</f>
        <v/>
      </c>
      <c r="N34">
        <f>IF(OR(D34="",E34=""),"","WO"&amp;D34&amp;"OP"&amp;E34)</f>
        <v/>
      </c>
    </row>
    <row r="35" outlineLevel="1" ht="22" customHeight="1">
      <c r="A35" t="inlineStr">
        <is>
          <t>B1</t>
        </is>
      </c>
      <c r="B35" s="24" t="n"/>
      <c r="C35" s="25" t="n"/>
      <c r="D35" s="26" t="n"/>
      <c r="E35" s="26" t="n"/>
      <c r="F35" s="26" t="n"/>
      <c r="G35" s="26" t="n"/>
      <c r="H35" s="29">
        <f>IF(AND(F35="",G35=""),"",N(F35)+N(G35))</f>
        <v/>
      </c>
      <c r="I35" s="24" t="n"/>
      <c r="J35" s="26" t="n"/>
      <c r="K35" s="25" t="n"/>
      <c r="M35" s="28">
        <f>IFERROR(IF(D35="","",VLOOKUP(D35,WOTable,2,FALSE)),"")</f>
        <v/>
      </c>
      <c r="N35">
        <f>IF(OR(D35="",E35=""),"","WO"&amp;D35&amp;"OP"&amp;E35)</f>
        <v/>
      </c>
    </row>
    <row r="36" outlineLevel="1" ht="22" customHeight="1">
      <c r="A36" t="inlineStr">
        <is>
          <t>B1</t>
        </is>
      </c>
      <c r="B36" s="24" t="n"/>
      <c r="C36" s="25" t="n"/>
      <c r="D36" s="26" t="n"/>
      <c r="E36" s="26" t="n"/>
      <c r="F36" s="26" t="n"/>
      <c r="G36" s="26" t="n"/>
      <c r="H36" s="27">
        <f>IF(AND(F36="",G36=""),"",N(F36)+N(G36))</f>
        <v/>
      </c>
      <c r="I36" s="24" t="n"/>
      <c r="J36" s="26" t="n"/>
      <c r="K36" s="25" t="n"/>
      <c r="M36" s="28">
        <f>IFERROR(IF(D36="","",VLOOKUP(D36,WOTable,2,FALSE)),"")</f>
        <v/>
      </c>
      <c r="N36">
        <f>IF(OR(D36="",E36=""),"","WO"&amp;D36&amp;"OP"&amp;E36)</f>
        <v/>
      </c>
    </row>
    <row r="37" outlineLevel="1" ht="22" customHeight="1">
      <c r="A37" t="inlineStr">
        <is>
          <t>B1</t>
        </is>
      </c>
      <c r="B37" s="24" t="n"/>
      <c r="C37" s="25" t="n"/>
      <c r="D37" s="26" t="n"/>
      <c r="E37" s="26" t="n"/>
      <c r="F37" s="26" t="n"/>
      <c r="G37" s="26" t="n"/>
      <c r="H37" s="29">
        <f>IF(AND(F37="",G37=""),"",N(F37)+N(G37))</f>
        <v/>
      </c>
      <c r="I37" s="24" t="n"/>
      <c r="J37" s="26" t="n"/>
      <c r="K37" s="25" t="n"/>
      <c r="M37" s="28">
        <f>IFERROR(IF(D37="","",VLOOKUP(D37,WOTable,2,FALSE)),"")</f>
        <v/>
      </c>
      <c r="N37">
        <f>IF(OR(D37="",E37=""),"","WO"&amp;D37&amp;"OP"&amp;E37)</f>
        <v/>
      </c>
    </row>
    <row r="38" outlineLevel="1" ht="22" customHeight="1">
      <c r="A38" t="inlineStr">
        <is>
          <t>B1</t>
        </is>
      </c>
      <c r="B38" s="24" t="n"/>
      <c r="C38" s="25" t="n"/>
      <c r="D38" s="26" t="n"/>
      <c r="E38" s="26" t="n"/>
      <c r="F38" s="26" t="n"/>
      <c r="G38" s="26" t="n"/>
      <c r="H38" s="27">
        <f>IF(AND(F38="",G38=""),"",N(F38)+N(G38))</f>
        <v/>
      </c>
      <c r="I38" s="24" t="n"/>
      <c r="J38" s="26" t="n"/>
      <c r="K38" s="25" t="n"/>
      <c r="M38" s="28">
        <f>IFERROR(IF(D38="","",VLOOKUP(D38,WOTable,2,FALSE)),"")</f>
        <v/>
      </c>
      <c r="N38">
        <f>IF(OR(D38="",E38=""),"","WO"&amp;D38&amp;"OP"&amp;E38)</f>
        <v/>
      </c>
    </row>
    <row r="39" outlineLevel="1" ht="22" customHeight="1">
      <c r="A39" t="inlineStr">
        <is>
          <t>B1</t>
        </is>
      </c>
      <c r="B39" s="24" t="n"/>
      <c r="C39" s="25" t="n"/>
      <c r="D39" s="26" t="n"/>
      <c r="E39" s="26" t="n"/>
      <c r="F39" s="26" t="n"/>
      <c r="G39" s="26" t="n"/>
      <c r="H39" s="29">
        <f>IF(AND(F39="",G39=""),"",N(F39)+N(G39))</f>
        <v/>
      </c>
      <c r="I39" s="24" t="n"/>
      <c r="J39" s="26" t="n"/>
      <c r="K39" s="25" t="n"/>
      <c r="M39" s="28">
        <f>IFERROR(IF(D39="","",VLOOKUP(D39,WOTable,2,FALSE)),"")</f>
        <v/>
      </c>
      <c r="N39">
        <f>IF(OR(D39="",E39=""),"","WO"&amp;D39&amp;"OP"&amp;E39)</f>
        <v/>
      </c>
    </row>
    <row r="40" outlineLevel="1" ht="22" customHeight="1">
      <c r="A40" t="inlineStr">
        <is>
          <t>B1</t>
        </is>
      </c>
      <c r="B40" s="24" t="n"/>
      <c r="C40" s="25" t="n"/>
      <c r="D40" s="26" t="n"/>
      <c r="E40" s="26" t="n"/>
      <c r="F40" s="26" t="n"/>
      <c r="G40" s="26" t="n"/>
      <c r="H40" s="27">
        <f>IF(AND(F40="",G40=""),"",N(F40)+N(G40))</f>
        <v/>
      </c>
      <c r="I40" s="24" t="n"/>
      <c r="J40" s="26" t="n"/>
      <c r="K40" s="25" t="n"/>
      <c r="M40" s="28">
        <f>IFERROR(IF(D40="","",VLOOKUP(D40,WOTable,2,FALSE)),"")</f>
        <v/>
      </c>
      <c r="N40">
        <f>IF(OR(D40="",E40=""),"","WO"&amp;D40&amp;"OP"&amp;E40)</f>
        <v/>
      </c>
    </row>
    <row r="41" outlineLevel="1" ht="22" customHeight="1">
      <c r="A41" t="inlineStr">
        <is>
          <t>B1</t>
        </is>
      </c>
      <c r="B41" s="24" t="n"/>
      <c r="C41" s="25" t="n"/>
      <c r="D41" s="26" t="n"/>
      <c r="E41" s="26" t="n"/>
      <c r="F41" s="26" t="n"/>
      <c r="G41" s="26" t="n"/>
      <c r="H41" s="29">
        <f>IF(AND(F41="",G41=""),"",N(F41)+N(G41))</f>
        <v/>
      </c>
      <c r="I41" s="24" t="n"/>
      <c r="J41" s="26" t="n"/>
      <c r="K41" s="25" t="n"/>
      <c r="M41" s="28">
        <f>IFERROR(IF(D41="","",VLOOKUP(D41,WOTable,2,FALSE)),"")</f>
        <v/>
      </c>
      <c r="N41">
        <f>IF(OR(D41="",E41=""),"","WO"&amp;D41&amp;"OP"&amp;E41)</f>
        <v/>
      </c>
    </row>
    <row r="42" outlineLevel="1" ht="22" customHeight="1">
      <c r="A42" t="inlineStr">
        <is>
          <t>B1</t>
        </is>
      </c>
      <c r="B42" s="24" t="n"/>
      <c r="C42" s="25" t="n"/>
      <c r="D42" s="26" t="n"/>
      <c r="E42" s="26" t="n"/>
      <c r="F42" s="26" t="n"/>
      <c r="G42" s="26" t="n"/>
      <c r="H42" s="27">
        <f>IF(AND(F42="",G42=""),"",N(F42)+N(G42))</f>
        <v/>
      </c>
      <c r="I42" s="24" t="n"/>
      <c r="J42" s="26" t="n"/>
      <c r="K42" s="25" t="n"/>
      <c r="M42" s="28">
        <f>IFERROR(IF(D42="","",VLOOKUP(D42,WOTable,2,FALSE)),"")</f>
        <v/>
      </c>
      <c r="N42">
        <f>IF(OR(D42="",E42=""),"","WO"&amp;D42&amp;"OP"&amp;E42)</f>
        <v/>
      </c>
    </row>
    <row r="43" outlineLevel="1" ht="22" customHeight="1">
      <c r="A43" t="inlineStr">
        <is>
          <t>B1</t>
        </is>
      </c>
      <c r="B43" s="24" t="n"/>
      <c r="C43" s="25" t="n"/>
      <c r="D43" s="26" t="n"/>
      <c r="E43" s="26" t="n"/>
      <c r="F43" s="26" t="n"/>
      <c r="G43" s="26" t="n"/>
      <c r="H43" s="29">
        <f>IF(AND(F43="",G43=""),"",N(F43)+N(G43))</f>
        <v/>
      </c>
      <c r="I43" s="24" t="n"/>
      <c r="J43" s="26" t="n"/>
      <c r="K43" s="25" t="n"/>
      <c r="M43" s="28">
        <f>IFERROR(IF(D43="","",VLOOKUP(D43,WOTable,2,FALSE)),"")</f>
        <v/>
      </c>
      <c r="N43">
        <f>IF(OR(D43="",E43=""),"","WO"&amp;D43&amp;"OP"&amp;E43)</f>
        <v/>
      </c>
    </row>
    <row r="45" ht="22" customHeight="1">
      <c r="B45" s="5" t="inlineStr">
        <is>
          <t>PO ▸</t>
        </is>
      </c>
      <c r="C45" s="18" t="n"/>
      <c r="F45" s="19">
        <f>SUM(F47:F56)</f>
        <v/>
      </c>
      <c r="G45" s="19">
        <f>SUM(G47:G56)</f>
        <v/>
      </c>
      <c r="H45" s="19">
        <f>SUM(H47:H56)</f>
        <v/>
      </c>
      <c r="I45" s="20" t="inlineStr">
        <is>
          <t>section total ▸</t>
        </is>
      </c>
      <c r="J45" s="21" t="n"/>
      <c r="K45" s="21" t="n"/>
    </row>
    <row r="46" outlineLevel="1" ht="26" customHeight="1">
      <c r="B46" s="22" t="inlineStr">
        <is>
          <t>Employee Name</t>
        </is>
      </c>
      <c r="C46" s="22" t="inlineStr">
        <is>
          <t>Trade / Position</t>
        </is>
      </c>
      <c r="D46" s="22" t="inlineStr">
        <is>
          <t>WO ID</t>
        </is>
      </c>
      <c r="E46" s="22" t="inlineStr">
        <is>
          <t>OP Step</t>
        </is>
      </c>
      <c r="F46" s="22" t="inlineStr">
        <is>
          <t>RT
Hrs</t>
        </is>
      </c>
      <c r="G46" s="22" t="inlineStr">
        <is>
          <t>DT
Hrs</t>
        </is>
      </c>
      <c r="H46" s="22" t="inlineStr">
        <is>
          <t>Total
Hrs</t>
        </is>
      </c>
      <c r="I46" s="22" t="inlineStr">
        <is>
          <t>Work Location</t>
        </is>
      </c>
      <c r="J46" s="22" t="inlineStr">
        <is>
          <t>Offsite
Hrs</t>
        </is>
      </c>
      <c r="K46" s="22" t="inlineStr">
        <is>
          <t>Notes</t>
        </is>
      </c>
      <c r="M46" s="23" t="inlineStr">
        <is>
          <t>WO Name (reference only)</t>
        </is>
      </c>
    </row>
    <row r="47" outlineLevel="1" ht="22" customHeight="1">
      <c r="A47" t="inlineStr">
        <is>
          <t>B2</t>
        </is>
      </c>
      <c r="B47" s="24" t="n"/>
      <c r="C47" s="25" t="n"/>
      <c r="D47" s="26" t="n"/>
      <c r="E47" s="26" t="n"/>
      <c r="F47" s="26" t="n"/>
      <c r="G47" s="26" t="n"/>
      <c r="H47" s="27">
        <f>IF(AND(F47="",G47=""),"",N(F47)+N(G47))</f>
        <v/>
      </c>
      <c r="I47" s="24" t="n"/>
      <c r="J47" s="26" t="n"/>
      <c r="K47" s="25" t="n"/>
      <c r="M47" s="28">
        <f>IFERROR(IF(D47="","",VLOOKUP(D47,WOTable,2,FALSE)),"")</f>
        <v/>
      </c>
      <c r="N47">
        <f>IF(OR(D47="",E47=""),"","WO"&amp;D47&amp;"OP"&amp;E47)</f>
        <v/>
      </c>
    </row>
    <row r="48" outlineLevel="1" ht="22" customHeight="1">
      <c r="A48" t="inlineStr">
        <is>
          <t>B2</t>
        </is>
      </c>
      <c r="B48" s="24" t="n"/>
      <c r="C48" s="25" t="n"/>
      <c r="D48" s="26" t="n"/>
      <c r="E48" s="26" t="n"/>
      <c r="F48" s="26" t="n"/>
      <c r="G48" s="26" t="n"/>
      <c r="H48" s="29">
        <f>IF(AND(F48="",G48=""),"",N(F48)+N(G48))</f>
        <v/>
      </c>
      <c r="I48" s="24" t="n"/>
      <c r="J48" s="26" t="n"/>
      <c r="K48" s="25" t="n"/>
      <c r="M48" s="28">
        <f>IFERROR(IF(D48="","",VLOOKUP(D48,WOTable,2,FALSE)),"")</f>
        <v/>
      </c>
      <c r="N48">
        <f>IF(OR(D48="",E48=""),"","WO"&amp;D48&amp;"OP"&amp;E48)</f>
        <v/>
      </c>
    </row>
    <row r="49" outlineLevel="1" ht="22" customHeight="1">
      <c r="A49" t="inlineStr">
        <is>
          <t>B2</t>
        </is>
      </c>
      <c r="B49" s="24" t="n"/>
      <c r="C49" s="25" t="n"/>
      <c r="D49" s="26" t="n"/>
      <c r="E49" s="26" t="n"/>
      <c r="F49" s="26" t="n"/>
      <c r="G49" s="26" t="n"/>
      <c r="H49" s="27">
        <f>IF(AND(F49="",G49=""),"",N(F49)+N(G49))</f>
        <v/>
      </c>
      <c r="I49" s="24" t="n"/>
      <c r="J49" s="26" t="n"/>
      <c r="K49" s="25" t="n"/>
      <c r="M49" s="28">
        <f>IFERROR(IF(D49="","",VLOOKUP(D49,WOTable,2,FALSE)),"")</f>
        <v/>
      </c>
      <c r="N49">
        <f>IF(OR(D49="",E49=""),"","WO"&amp;D49&amp;"OP"&amp;E49)</f>
        <v/>
      </c>
    </row>
    <row r="50" outlineLevel="1" ht="22" customHeight="1">
      <c r="A50" t="inlineStr">
        <is>
          <t>B2</t>
        </is>
      </c>
      <c r="B50" s="24" t="n"/>
      <c r="C50" s="25" t="n"/>
      <c r="D50" s="26" t="n"/>
      <c r="E50" s="26" t="n"/>
      <c r="F50" s="26" t="n"/>
      <c r="G50" s="26" t="n"/>
      <c r="H50" s="29">
        <f>IF(AND(F50="",G50=""),"",N(F50)+N(G50))</f>
        <v/>
      </c>
      <c r="I50" s="24" t="n"/>
      <c r="J50" s="26" t="n"/>
      <c r="K50" s="25" t="n"/>
      <c r="M50" s="28">
        <f>IFERROR(IF(D50="","",VLOOKUP(D50,WOTable,2,FALSE)),"")</f>
        <v/>
      </c>
      <c r="N50">
        <f>IF(OR(D50="",E50=""),"","WO"&amp;D50&amp;"OP"&amp;E50)</f>
        <v/>
      </c>
    </row>
    <row r="51" outlineLevel="1" ht="22" customHeight="1">
      <c r="A51" t="inlineStr">
        <is>
          <t>B2</t>
        </is>
      </c>
      <c r="B51" s="24" t="n"/>
      <c r="C51" s="25" t="n"/>
      <c r="D51" s="26" t="n"/>
      <c r="E51" s="26" t="n"/>
      <c r="F51" s="26" t="n"/>
      <c r="G51" s="26" t="n"/>
      <c r="H51" s="27">
        <f>IF(AND(F51="",G51=""),"",N(F51)+N(G51))</f>
        <v/>
      </c>
      <c r="I51" s="24" t="n"/>
      <c r="J51" s="26" t="n"/>
      <c r="K51" s="25" t="n"/>
      <c r="M51" s="28">
        <f>IFERROR(IF(D51="","",VLOOKUP(D51,WOTable,2,FALSE)),"")</f>
        <v/>
      </c>
      <c r="N51">
        <f>IF(OR(D51="",E51=""),"","WO"&amp;D51&amp;"OP"&amp;E51)</f>
        <v/>
      </c>
    </row>
    <row r="52" outlineLevel="1" ht="22" customHeight="1">
      <c r="A52" t="inlineStr">
        <is>
          <t>B2</t>
        </is>
      </c>
      <c r="B52" s="24" t="n"/>
      <c r="C52" s="25" t="n"/>
      <c r="D52" s="26" t="n"/>
      <c r="E52" s="26" t="n"/>
      <c r="F52" s="26" t="n"/>
      <c r="G52" s="26" t="n"/>
      <c r="H52" s="29">
        <f>IF(AND(F52="",G52=""),"",N(F52)+N(G52))</f>
        <v/>
      </c>
      <c r="I52" s="24" t="n"/>
      <c r="J52" s="26" t="n"/>
      <c r="K52" s="25" t="n"/>
      <c r="M52" s="28">
        <f>IFERROR(IF(D52="","",VLOOKUP(D52,WOTable,2,FALSE)),"")</f>
        <v/>
      </c>
      <c r="N52">
        <f>IF(OR(D52="",E52=""),"","WO"&amp;D52&amp;"OP"&amp;E52)</f>
        <v/>
      </c>
    </row>
    <row r="53" outlineLevel="1" ht="22" customHeight="1">
      <c r="A53" t="inlineStr">
        <is>
          <t>B2</t>
        </is>
      </c>
      <c r="B53" s="24" t="n"/>
      <c r="C53" s="25" t="n"/>
      <c r="D53" s="26" t="n"/>
      <c r="E53" s="26" t="n"/>
      <c r="F53" s="26" t="n"/>
      <c r="G53" s="26" t="n"/>
      <c r="H53" s="27">
        <f>IF(AND(F53="",G53=""),"",N(F53)+N(G53))</f>
        <v/>
      </c>
      <c r="I53" s="24" t="n"/>
      <c r="J53" s="26" t="n"/>
      <c r="K53" s="25" t="n"/>
      <c r="M53" s="28">
        <f>IFERROR(IF(D53="","",VLOOKUP(D53,WOTable,2,FALSE)),"")</f>
        <v/>
      </c>
      <c r="N53">
        <f>IF(OR(D53="",E53=""),"","WO"&amp;D53&amp;"OP"&amp;E53)</f>
        <v/>
      </c>
    </row>
    <row r="54" outlineLevel="1" ht="22" customHeight="1">
      <c r="A54" t="inlineStr">
        <is>
          <t>B2</t>
        </is>
      </c>
      <c r="B54" s="24" t="n"/>
      <c r="C54" s="25" t="n"/>
      <c r="D54" s="26" t="n"/>
      <c r="E54" s="26" t="n"/>
      <c r="F54" s="26" t="n"/>
      <c r="G54" s="26" t="n"/>
      <c r="H54" s="29">
        <f>IF(AND(F54="",G54=""),"",N(F54)+N(G54))</f>
        <v/>
      </c>
      <c r="I54" s="24" t="n"/>
      <c r="J54" s="26" t="n"/>
      <c r="K54" s="25" t="n"/>
      <c r="M54" s="28">
        <f>IFERROR(IF(D54="","",VLOOKUP(D54,WOTable,2,FALSE)),"")</f>
        <v/>
      </c>
      <c r="N54">
        <f>IF(OR(D54="",E54=""),"","WO"&amp;D54&amp;"OP"&amp;E54)</f>
        <v/>
      </c>
    </row>
    <row r="55" outlineLevel="1" ht="22" customHeight="1">
      <c r="A55" t="inlineStr">
        <is>
          <t>B2</t>
        </is>
      </c>
      <c r="B55" s="24" t="n"/>
      <c r="C55" s="25" t="n"/>
      <c r="D55" s="26" t="n"/>
      <c r="E55" s="26" t="n"/>
      <c r="F55" s="26" t="n"/>
      <c r="G55" s="26" t="n"/>
      <c r="H55" s="27">
        <f>IF(AND(F55="",G55=""),"",N(F55)+N(G55))</f>
        <v/>
      </c>
      <c r="I55" s="24" t="n"/>
      <c r="J55" s="26" t="n"/>
      <c r="K55" s="25" t="n"/>
      <c r="M55" s="28">
        <f>IFERROR(IF(D55="","",VLOOKUP(D55,WOTable,2,FALSE)),"")</f>
        <v/>
      </c>
      <c r="N55">
        <f>IF(OR(D55="",E55=""),"","WO"&amp;D55&amp;"OP"&amp;E55)</f>
        <v/>
      </c>
    </row>
    <row r="56" outlineLevel="1" ht="22" customHeight="1">
      <c r="A56" t="inlineStr">
        <is>
          <t>B2</t>
        </is>
      </c>
      <c r="B56" s="24" t="n"/>
      <c r="C56" s="25" t="n"/>
      <c r="D56" s="26" t="n"/>
      <c r="E56" s="26" t="n"/>
      <c r="F56" s="26" t="n"/>
      <c r="G56" s="26" t="n"/>
      <c r="H56" s="29">
        <f>IF(AND(F56="",G56=""),"",N(F56)+N(G56))</f>
        <v/>
      </c>
      <c r="I56" s="24" t="n"/>
      <c r="J56" s="26" t="n"/>
      <c r="K56" s="25" t="n"/>
      <c r="M56" s="28">
        <f>IFERROR(IF(D56="","",VLOOKUP(D56,WOTable,2,FALSE)),"")</f>
        <v/>
      </c>
      <c r="N56">
        <f>IF(OR(D56="",E56=""),"","WO"&amp;D56&amp;"OP"&amp;E56)</f>
        <v/>
      </c>
    </row>
    <row r="58" ht="22" customHeight="1">
      <c r="B58" s="5" t="inlineStr">
        <is>
          <t>PO ▸</t>
        </is>
      </c>
      <c r="C58" s="18" t="n"/>
      <c r="F58" s="19">
        <f>SUM(F60:F69)</f>
        <v/>
      </c>
      <c r="G58" s="19">
        <f>SUM(G60:G69)</f>
        <v/>
      </c>
      <c r="H58" s="19">
        <f>SUM(H60:H69)</f>
        <v/>
      </c>
      <c r="I58" s="20" t="inlineStr">
        <is>
          <t>section total ▸</t>
        </is>
      </c>
      <c r="J58" s="21" t="n"/>
      <c r="K58" s="21" t="n"/>
    </row>
    <row r="59" outlineLevel="1" ht="26" customHeight="1">
      <c r="B59" s="22" t="inlineStr">
        <is>
          <t>Employee Name</t>
        </is>
      </c>
      <c r="C59" s="22" t="inlineStr">
        <is>
          <t>Trade / Position</t>
        </is>
      </c>
      <c r="D59" s="22" t="inlineStr">
        <is>
          <t>WO ID</t>
        </is>
      </c>
      <c r="E59" s="22" t="inlineStr">
        <is>
          <t>OP Step</t>
        </is>
      </c>
      <c r="F59" s="22" t="inlineStr">
        <is>
          <t>RT
Hrs</t>
        </is>
      </c>
      <c r="G59" s="22" t="inlineStr">
        <is>
          <t>DT
Hrs</t>
        </is>
      </c>
      <c r="H59" s="22" t="inlineStr">
        <is>
          <t>Total
Hrs</t>
        </is>
      </c>
      <c r="I59" s="22" t="inlineStr">
        <is>
          <t>Work Location</t>
        </is>
      </c>
      <c r="J59" s="22" t="inlineStr">
        <is>
          <t>Offsite
Hrs</t>
        </is>
      </c>
      <c r="K59" s="22" t="inlineStr">
        <is>
          <t>Notes</t>
        </is>
      </c>
      <c r="M59" s="23" t="inlineStr">
        <is>
          <t>WO Name (reference only)</t>
        </is>
      </c>
    </row>
    <row r="60" outlineLevel="1" ht="22" customHeight="1">
      <c r="A60" t="inlineStr">
        <is>
          <t>B3</t>
        </is>
      </c>
      <c r="B60" s="24" t="n"/>
      <c r="C60" s="25" t="n"/>
      <c r="D60" s="26" t="n"/>
      <c r="E60" s="26" t="n"/>
      <c r="F60" s="26" t="n"/>
      <c r="G60" s="26" t="n"/>
      <c r="H60" s="27">
        <f>IF(AND(F60="",G60=""),"",N(F60)+N(G60))</f>
        <v/>
      </c>
      <c r="I60" s="24" t="n"/>
      <c r="J60" s="26" t="n"/>
      <c r="K60" s="25" t="n"/>
      <c r="M60" s="28">
        <f>IFERROR(IF(D60="","",VLOOKUP(D60,WOTable,2,FALSE)),"")</f>
        <v/>
      </c>
      <c r="N60">
        <f>IF(OR(D60="",E60=""),"","WO"&amp;D60&amp;"OP"&amp;E60)</f>
        <v/>
      </c>
    </row>
    <row r="61" outlineLevel="1" ht="22" customHeight="1">
      <c r="A61" t="inlineStr">
        <is>
          <t>B3</t>
        </is>
      </c>
      <c r="B61" s="24" t="n"/>
      <c r="C61" s="25" t="n"/>
      <c r="D61" s="26" t="n"/>
      <c r="E61" s="26" t="n"/>
      <c r="F61" s="26" t="n"/>
      <c r="G61" s="26" t="n"/>
      <c r="H61" s="29">
        <f>IF(AND(F61="",G61=""),"",N(F61)+N(G61))</f>
        <v/>
      </c>
      <c r="I61" s="24" t="n"/>
      <c r="J61" s="26" t="n"/>
      <c r="K61" s="25" t="n"/>
      <c r="M61" s="28">
        <f>IFERROR(IF(D61="","",VLOOKUP(D61,WOTable,2,FALSE)),"")</f>
        <v/>
      </c>
      <c r="N61">
        <f>IF(OR(D61="",E61=""),"","WO"&amp;D61&amp;"OP"&amp;E61)</f>
        <v/>
      </c>
    </row>
    <row r="62" outlineLevel="1" ht="22" customHeight="1">
      <c r="A62" t="inlineStr">
        <is>
          <t>B3</t>
        </is>
      </c>
      <c r="B62" s="24" t="n"/>
      <c r="C62" s="25" t="n"/>
      <c r="D62" s="26" t="n"/>
      <c r="E62" s="26" t="n"/>
      <c r="F62" s="26" t="n"/>
      <c r="G62" s="26" t="n"/>
      <c r="H62" s="27">
        <f>IF(AND(F62="",G62=""),"",N(F62)+N(G62))</f>
        <v/>
      </c>
      <c r="I62" s="24" t="n"/>
      <c r="J62" s="26" t="n"/>
      <c r="K62" s="25" t="n"/>
      <c r="M62" s="28">
        <f>IFERROR(IF(D62="","",VLOOKUP(D62,WOTable,2,FALSE)),"")</f>
        <v/>
      </c>
      <c r="N62">
        <f>IF(OR(D62="",E62=""),"","WO"&amp;D62&amp;"OP"&amp;E62)</f>
        <v/>
      </c>
    </row>
    <row r="63" outlineLevel="1" ht="22" customHeight="1">
      <c r="A63" t="inlineStr">
        <is>
          <t>B3</t>
        </is>
      </c>
      <c r="B63" s="24" t="n"/>
      <c r="C63" s="25" t="n"/>
      <c r="D63" s="26" t="n"/>
      <c r="E63" s="26" t="n"/>
      <c r="F63" s="26" t="n"/>
      <c r="G63" s="26" t="n"/>
      <c r="H63" s="29">
        <f>IF(AND(F63="",G63=""),"",N(F63)+N(G63))</f>
        <v/>
      </c>
      <c r="I63" s="24" t="n"/>
      <c r="J63" s="26" t="n"/>
      <c r="K63" s="25" t="n"/>
      <c r="M63" s="28">
        <f>IFERROR(IF(D63="","",VLOOKUP(D63,WOTable,2,FALSE)),"")</f>
        <v/>
      </c>
      <c r="N63">
        <f>IF(OR(D63="",E63=""),"","WO"&amp;D63&amp;"OP"&amp;E63)</f>
        <v/>
      </c>
    </row>
    <row r="64" outlineLevel="1" ht="22" customHeight="1">
      <c r="A64" t="inlineStr">
        <is>
          <t>B3</t>
        </is>
      </c>
      <c r="B64" s="24" t="n"/>
      <c r="C64" s="25" t="n"/>
      <c r="D64" s="26" t="n"/>
      <c r="E64" s="26" t="n"/>
      <c r="F64" s="26" t="n"/>
      <c r="G64" s="26" t="n"/>
      <c r="H64" s="27">
        <f>IF(AND(F64="",G64=""),"",N(F64)+N(G64))</f>
        <v/>
      </c>
      <c r="I64" s="24" t="n"/>
      <c r="J64" s="26" t="n"/>
      <c r="K64" s="25" t="n"/>
      <c r="M64" s="28">
        <f>IFERROR(IF(D64="","",VLOOKUP(D64,WOTable,2,FALSE)),"")</f>
        <v/>
      </c>
      <c r="N64">
        <f>IF(OR(D64="",E64=""),"","WO"&amp;D64&amp;"OP"&amp;E64)</f>
        <v/>
      </c>
    </row>
    <row r="65" outlineLevel="1" ht="22" customHeight="1">
      <c r="A65" t="inlineStr">
        <is>
          <t>B3</t>
        </is>
      </c>
      <c r="B65" s="24" t="n"/>
      <c r="C65" s="25" t="n"/>
      <c r="D65" s="26" t="n"/>
      <c r="E65" s="26" t="n"/>
      <c r="F65" s="26" t="n"/>
      <c r="G65" s="26" t="n"/>
      <c r="H65" s="29">
        <f>IF(AND(F65="",G65=""),"",N(F65)+N(G65))</f>
        <v/>
      </c>
      <c r="I65" s="24" t="n"/>
      <c r="J65" s="26" t="n"/>
      <c r="K65" s="25" t="n"/>
      <c r="M65" s="28">
        <f>IFERROR(IF(D65="","",VLOOKUP(D65,WOTable,2,FALSE)),"")</f>
        <v/>
      </c>
      <c r="N65">
        <f>IF(OR(D65="",E65=""),"","WO"&amp;D65&amp;"OP"&amp;E65)</f>
        <v/>
      </c>
    </row>
    <row r="66" outlineLevel="1" ht="22" customHeight="1">
      <c r="A66" t="inlineStr">
        <is>
          <t>B3</t>
        </is>
      </c>
      <c r="B66" s="24" t="n"/>
      <c r="C66" s="25" t="n"/>
      <c r="D66" s="26" t="n"/>
      <c r="E66" s="26" t="n"/>
      <c r="F66" s="26" t="n"/>
      <c r="G66" s="26" t="n"/>
      <c r="H66" s="27">
        <f>IF(AND(F66="",G66=""),"",N(F66)+N(G66))</f>
        <v/>
      </c>
      <c r="I66" s="24" t="n"/>
      <c r="J66" s="26" t="n"/>
      <c r="K66" s="25" t="n"/>
      <c r="M66" s="28">
        <f>IFERROR(IF(D66="","",VLOOKUP(D66,WOTable,2,FALSE)),"")</f>
        <v/>
      </c>
      <c r="N66">
        <f>IF(OR(D66="",E66=""),"","WO"&amp;D66&amp;"OP"&amp;E66)</f>
        <v/>
      </c>
    </row>
    <row r="67" outlineLevel="1" ht="22" customHeight="1">
      <c r="A67" t="inlineStr">
        <is>
          <t>B3</t>
        </is>
      </c>
      <c r="B67" s="24" t="n"/>
      <c r="C67" s="25" t="n"/>
      <c r="D67" s="26" t="n"/>
      <c r="E67" s="26" t="n"/>
      <c r="F67" s="26" t="n"/>
      <c r="G67" s="26" t="n"/>
      <c r="H67" s="29">
        <f>IF(AND(F67="",G67=""),"",N(F67)+N(G67))</f>
        <v/>
      </c>
      <c r="I67" s="24" t="n"/>
      <c r="J67" s="26" t="n"/>
      <c r="K67" s="25" t="n"/>
      <c r="M67" s="28">
        <f>IFERROR(IF(D67="","",VLOOKUP(D67,WOTable,2,FALSE)),"")</f>
        <v/>
      </c>
      <c r="N67">
        <f>IF(OR(D67="",E67=""),"","WO"&amp;D67&amp;"OP"&amp;E67)</f>
        <v/>
      </c>
    </row>
    <row r="68" outlineLevel="1" ht="22" customHeight="1">
      <c r="A68" t="inlineStr">
        <is>
          <t>B3</t>
        </is>
      </c>
      <c r="B68" s="24" t="n"/>
      <c r="C68" s="25" t="n"/>
      <c r="D68" s="26" t="n"/>
      <c r="E68" s="26" t="n"/>
      <c r="F68" s="26" t="n"/>
      <c r="G68" s="26" t="n"/>
      <c r="H68" s="27">
        <f>IF(AND(F68="",G68=""),"",N(F68)+N(G68))</f>
        <v/>
      </c>
      <c r="I68" s="24" t="n"/>
      <c r="J68" s="26" t="n"/>
      <c r="K68" s="25" t="n"/>
      <c r="M68" s="28">
        <f>IFERROR(IF(D68="","",VLOOKUP(D68,WOTable,2,FALSE)),"")</f>
        <v/>
      </c>
      <c r="N68">
        <f>IF(OR(D68="",E68=""),"","WO"&amp;D68&amp;"OP"&amp;E68)</f>
        <v/>
      </c>
    </row>
    <row r="69" outlineLevel="1" ht="22" customHeight="1">
      <c r="A69" t="inlineStr">
        <is>
          <t>B3</t>
        </is>
      </c>
      <c r="B69" s="24" t="n"/>
      <c r="C69" s="25" t="n"/>
      <c r="D69" s="26" t="n"/>
      <c r="E69" s="26" t="n"/>
      <c r="F69" s="26" t="n"/>
      <c r="G69" s="26" t="n"/>
      <c r="H69" s="29">
        <f>IF(AND(F69="",G69=""),"",N(F69)+N(G69))</f>
        <v/>
      </c>
      <c r="I69" s="24" t="n"/>
      <c r="J69" s="26" t="n"/>
      <c r="K69" s="25" t="n"/>
      <c r="M69" s="28">
        <f>IFERROR(IF(D69="","",VLOOKUP(D69,WOTable,2,FALSE)),"")</f>
        <v/>
      </c>
      <c r="N69">
        <f>IF(OR(D69="",E69=""),"","WO"&amp;D69&amp;"OP"&amp;E69)</f>
        <v/>
      </c>
    </row>
    <row r="71" ht="22" customHeight="1">
      <c r="B71" s="5" t="inlineStr">
        <is>
          <t>PO ▸</t>
        </is>
      </c>
      <c r="C71" s="18" t="n"/>
      <c r="F71" s="19">
        <f>SUM(F73:F82)</f>
        <v/>
      </c>
      <c r="G71" s="19">
        <f>SUM(G73:G82)</f>
        <v/>
      </c>
      <c r="H71" s="19">
        <f>SUM(H73:H82)</f>
        <v/>
      </c>
      <c r="I71" s="20" t="inlineStr">
        <is>
          <t>section total ▸</t>
        </is>
      </c>
      <c r="J71" s="21" t="n"/>
      <c r="K71" s="21" t="n"/>
    </row>
    <row r="72" outlineLevel="1" ht="26" customHeight="1">
      <c r="B72" s="22" t="inlineStr">
        <is>
          <t>Employee Name</t>
        </is>
      </c>
      <c r="C72" s="22" t="inlineStr">
        <is>
          <t>Trade / Position</t>
        </is>
      </c>
      <c r="D72" s="22" t="inlineStr">
        <is>
          <t>WO ID</t>
        </is>
      </c>
      <c r="E72" s="22" t="inlineStr">
        <is>
          <t>OP Step</t>
        </is>
      </c>
      <c r="F72" s="22" t="inlineStr">
        <is>
          <t>RT
Hrs</t>
        </is>
      </c>
      <c r="G72" s="22" t="inlineStr">
        <is>
          <t>DT
Hrs</t>
        </is>
      </c>
      <c r="H72" s="22" t="inlineStr">
        <is>
          <t>Total
Hrs</t>
        </is>
      </c>
      <c r="I72" s="22" t="inlineStr">
        <is>
          <t>Work Location</t>
        </is>
      </c>
      <c r="J72" s="22" t="inlineStr">
        <is>
          <t>Offsite
Hrs</t>
        </is>
      </c>
      <c r="K72" s="22" t="inlineStr">
        <is>
          <t>Notes</t>
        </is>
      </c>
      <c r="M72" s="23" t="inlineStr">
        <is>
          <t>WO Name (reference only)</t>
        </is>
      </c>
    </row>
    <row r="73" outlineLevel="1" ht="22" customHeight="1">
      <c r="A73" t="inlineStr">
        <is>
          <t>B4</t>
        </is>
      </c>
      <c r="B73" s="24" t="n"/>
      <c r="C73" s="25" t="n"/>
      <c r="D73" s="26" t="n"/>
      <c r="E73" s="26" t="n"/>
      <c r="F73" s="26" t="n"/>
      <c r="G73" s="26" t="n"/>
      <c r="H73" s="27">
        <f>IF(AND(F73="",G73=""),"",N(F73)+N(G73))</f>
        <v/>
      </c>
      <c r="I73" s="24" t="n"/>
      <c r="J73" s="26" t="n"/>
      <c r="K73" s="25" t="n"/>
      <c r="M73" s="28">
        <f>IFERROR(IF(D73="","",VLOOKUP(D73,WOTable,2,FALSE)),"")</f>
        <v/>
      </c>
      <c r="N73">
        <f>IF(OR(D73="",E73=""),"","WO"&amp;D73&amp;"OP"&amp;E73)</f>
        <v/>
      </c>
    </row>
    <row r="74" outlineLevel="1" ht="22" customHeight="1">
      <c r="A74" t="inlineStr">
        <is>
          <t>B4</t>
        </is>
      </c>
      <c r="B74" s="24" t="n"/>
      <c r="C74" s="25" t="n"/>
      <c r="D74" s="26" t="n"/>
      <c r="E74" s="26" t="n"/>
      <c r="F74" s="26" t="n"/>
      <c r="G74" s="26" t="n"/>
      <c r="H74" s="29">
        <f>IF(AND(F74="",G74=""),"",N(F74)+N(G74))</f>
        <v/>
      </c>
      <c r="I74" s="24" t="n"/>
      <c r="J74" s="26" t="n"/>
      <c r="K74" s="25" t="n"/>
      <c r="M74" s="28">
        <f>IFERROR(IF(D74="","",VLOOKUP(D74,WOTable,2,FALSE)),"")</f>
        <v/>
      </c>
      <c r="N74">
        <f>IF(OR(D74="",E74=""),"","WO"&amp;D74&amp;"OP"&amp;E74)</f>
        <v/>
      </c>
    </row>
    <row r="75" outlineLevel="1" ht="22" customHeight="1">
      <c r="A75" t="inlineStr">
        <is>
          <t>B4</t>
        </is>
      </c>
      <c r="B75" s="24" t="n"/>
      <c r="C75" s="25" t="n"/>
      <c r="D75" s="26" t="n"/>
      <c r="E75" s="26" t="n"/>
      <c r="F75" s="26" t="n"/>
      <c r="G75" s="26" t="n"/>
      <c r="H75" s="27">
        <f>IF(AND(F75="",G75=""),"",N(F75)+N(G75))</f>
        <v/>
      </c>
      <c r="I75" s="24" t="n"/>
      <c r="J75" s="26" t="n"/>
      <c r="K75" s="25" t="n"/>
      <c r="M75" s="28">
        <f>IFERROR(IF(D75="","",VLOOKUP(D75,WOTable,2,FALSE)),"")</f>
        <v/>
      </c>
      <c r="N75">
        <f>IF(OR(D75="",E75=""),"","WO"&amp;D75&amp;"OP"&amp;E75)</f>
        <v/>
      </c>
    </row>
    <row r="76" outlineLevel="1" ht="22" customHeight="1">
      <c r="A76" t="inlineStr">
        <is>
          <t>B4</t>
        </is>
      </c>
      <c r="B76" s="24" t="n"/>
      <c r="C76" s="25" t="n"/>
      <c r="D76" s="26" t="n"/>
      <c r="E76" s="26" t="n"/>
      <c r="F76" s="26" t="n"/>
      <c r="G76" s="26" t="n"/>
      <c r="H76" s="29">
        <f>IF(AND(F76="",G76=""),"",N(F76)+N(G76))</f>
        <v/>
      </c>
      <c r="I76" s="24" t="n"/>
      <c r="J76" s="26" t="n"/>
      <c r="K76" s="25" t="n"/>
      <c r="M76" s="28">
        <f>IFERROR(IF(D76="","",VLOOKUP(D76,WOTable,2,FALSE)),"")</f>
        <v/>
      </c>
      <c r="N76">
        <f>IF(OR(D76="",E76=""),"","WO"&amp;D76&amp;"OP"&amp;E76)</f>
        <v/>
      </c>
    </row>
    <row r="77" outlineLevel="1" ht="22" customHeight="1">
      <c r="A77" t="inlineStr">
        <is>
          <t>B4</t>
        </is>
      </c>
      <c r="B77" s="24" t="n"/>
      <c r="C77" s="25" t="n"/>
      <c r="D77" s="26" t="n"/>
      <c r="E77" s="26" t="n"/>
      <c r="F77" s="26" t="n"/>
      <c r="G77" s="26" t="n"/>
      <c r="H77" s="27">
        <f>IF(AND(F77="",G77=""),"",N(F77)+N(G77))</f>
        <v/>
      </c>
      <c r="I77" s="24" t="n"/>
      <c r="J77" s="26" t="n"/>
      <c r="K77" s="25" t="n"/>
      <c r="M77" s="28">
        <f>IFERROR(IF(D77="","",VLOOKUP(D77,WOTable,2,FALSE)),"")</f>
        <v/>
      </c>
      <c r="N77">
        <f>IF(OR(D77="",E77=""),"","WO"&amp;D77&amp;"OP"&amp;E77)</f>
        <v/>
      </c>
    </row>
    <row r="78" outlineLevel="1" ht="22" customHeight="1">
      <c r="A78" t="inlineStr">
        <is>
          <t>B4</t>
        </is>
      </c>
      <c r="B78" s="24" t="n"/>
      <c r="C78" s="25" t="n"/>
      <c r="D78" s="26" t="n"/>
      <c r="E78" s="26" t="n"/>
      <c r="F78" s="26" t="n"/>
      <c r="G78" s="26" t="n"/>
      <c r="H78" s="29">
        <f>IF(AND(F78="",G78=""),"",N(F78)+N(G78))</f>
        <v/>
      </c>
      <c r="I78" s="24" t="n"/>
      <c r="J78" s="26" t="n"/>
      <c r="K78" s="25" t="n"/>
      <c r="M78" s="28">
        <f>IFERROR(IF(D78="","",VLOOKUP(D78,WOTable,2,FALSE)),"")</f>
        <v/>
      </c>
      <c r="N78">
        <f>IF(OR(D78="",E78=""),"","WO"&amp;D78&amp;"OP"&amp;E78)</f>
        <v/>
      </c>
    </row>
    <row r="79" outlineLevel="1" ht="22" customHeight="1">
      <c r="A79" t="inlineStr">
        <is>
          <t>B4</t>
        </is>
      </c>
      <c r="B79" s="24" t="n"/>
      <c r="C79" s="25" t="n"/>
      <c r="D79" s="26" t="n"/>
      <c r="E79" s="26" t="n"/>
      <c r="F79" s="26" t="n"/>
      <c r="G79" s="26" t="n"/>
      <c r="H79" s="27">
        <f>IF(AND(F79="",G79=""),"",N(F79)+N(G79))</f>
        <v/>
      </c>
      <c r="I79" s="24" t="n"/>
      <c r="J79" s="26" t="n"/>
      <c r="K79" s="25" t="n"/>
      <c r="M79" s="28">
        <f>IFERROR(IF(D79="","",VLOOKUP(D79,WOTable,2,FALSE)),"")</f>
        <v/>
      </c>
      <c r="N79">
        <f>IF(OR(D79="",E79=""),"","WO"&amp;D79&amp;"OP"&amp;E79)</f>
        <v/>
      </c>
    </row>
    <row r="80" outlineLevel="1" ht="22" customHeight="1">
      <c r="A80" t="inlineStr">
        <is>
          <t>B4</t>
        </is>
      </c>
      <c r="B80" s="24" t="n"/>
      <c r="C80" s="25" t="n"/>
      <c r="D80" s="26" t="n"/>
      <c r="E80" s="26" t="n"/>
      <c r="F80" s="26" t="n"/>
      <c r="G80" s="26" t="n"/>
      <c r="H80" s="29">
        <f>IF(AND(F80="",G80=""),"",N(F80)+N(G80))</f>
        <v/>
      </c>
      <c r="I80" s="24" t="n"/>
      <c r="J80" s="26" t="n"/>
      <c r="K80" s="25" t="n"/>
      <c r="M80" s="28">
        <f>IFERROR(IF(D80="","",VLOOKUP(D80,WOTable,2,FALSE)),"")</f>
        <v/>
      </c>
      <c r="N80">
        <f>IF(OR(D80="",E80=""),"","WO"&amp;D80&amp;"OP"&amp;E80)</f>
        <v/>
      </c>
    </row>
    <row r="81" outlineLevel="1" ht="22" customHeight="1">
      <c r="A81" t="inlineStr">
        <is>
          <t>B4</t>
        </is>
      </c>
      <c r="B81" s="24" t="n"/>
      <c r="C81" s="25" t="n"/>
      <c r="D81" s="26" t="n"/>
      <c r="E81" s="26" t="n"/>
      <c r="F81" s="26" t="n"/>
      <c r="G81" s="26" t="n"/>
      <c r="H81" s="27">
        <f>IF(AND(F81="",G81=""),"",N(F81)+N(G81))</f>
        <v/>
      </c>
      <c r="I81" s="24" t="n"/>
      <c r="J81" s="26" t="n"/>
      <c r="K81" s="25" t="n"/>
      <c r="M81" s="28">
        <f>IFERROR(IF(D81="","",VLOOKUP(D81,WOTable,2,FALSE)),"")</f>
        <v/>
      </c>
      <c r="N81">
        <f>IF(OR(D81="",E81=""),"","WO"&amp;D81&amp;"OP"&amp;E81)</f>
        <v/>
      </c>
    </row>
    <row r="82" outlineLevel="1" ht="22" customHeight="1">
      <c r="A82" t="inlineStr">
        <is>
          <t>B4</t>
        </is>
      </c>
      <c r="B82" s="24" t="n"/>
      <c r="C82" s="25" t="n"/>
      <c r="D82" s="26" t="n"/>
      <c r="E82" s="26" t="n"/>
      <c r="F82" s="26" t="n"/>
      <c r="G82" s="26" t="n"/>
      <c r="H82" s="29">
        <f>IF(AND(F82="",G82=""),"",N(F82)+N(G82))</f>
        <v/>
      </c>
      <c r="I82" s="24" t="n"/>
      <c r="J82" s="26" t="n"/>
      <c r="K82" s="25" t="n"/>
      <c r="M82" s="28">
        <f>IFERROR(IF(D82="","",VLOOKUP(D82,WOTable,2,FALSE)),"")</f>
        <v/>
      </c>
      <c r="N82">
        <f>IF(OR(D82="",E82=""),"","WO"&amp;D82&amp;"OP"&amp;E82)</f>
        <v/>
      </c>
    </row>
    <row r="84" ht="22" customHeight="1">
      <c r="B84" s="5" t="inlineStr">
        <is>
          <t>PO ▸</t>
        </is>
      </c>
      <c r="C84" s="18" t="n"/>
      <c r="F84" s="19">
        <f>SUM(F86:F95)</f>
        <v/>
      </c>
      <c r="G84" s="19">
        <f>SUM(G86:G95)</f>
        <v/>
      </c>
      <c r="H84" s="19">
        <f>SUM(H86:H95)</f>
        <v/>
      </c>
      <c r="I84" s="20" t="inlineStr">
        <is>
          <t>section total ▸</t>
        </is>
      </c>
      <c r="J84" s="21" t="n"/>
      <c r="K84" s="21" t="n"/>
    </row>
    <row r="85" outlineLevel="1" ht="26" customHeight="1">
      <c r="B85" s="22" t="inlineStr">
        <is>
          <t>Employee Name</t>
        </is>
      </c>
      <c r="C85" s="22" t="inlineStr">
        <is>
          <t>Trade / Position</t>
        </is>
      </c>
      <c r="D85" s="22" t="inlineStr">
        <is>
          <t>WO ID</t>
        </is>
      </c>
      <c r="E85" s="22" t="inlineStr">
        <is>
          <t>OP Step</t>
        </is>
      </c>
      <c r="F85" s="22" t="inlineStr">
        <is>
          <t>RT
Hrs</t>
        </is>
      </c>
      <c r="G85" s="22" t="inlineStr">
        <is>
          <t>DT
Hrs</t>
        </is>
      </c>
      <c r="H85" s="22" t="inlineStr">
        <is>
          <t>Total
Hrs</t>
        </is>
      </c>
      <c r="I85" s="22" t="inlineStr">
        <is>
          <t>Work Location</t>
        </is>
      </c>
      <c r="J85" s="22" t="inlineStr">
        <is>
          <t>Offsite
Hrs</t>
        </is>
      </c>
      <c r="K85" s="22" t="inlineStr">
        <is>
          <t>Notes</t>
        </is>
      </c>
      <c r="M85" s="23" t="inlineStr">
        <is>
          <t>WO Name (reference only)</t>
        </is>
      </c>
    </row>
    <row r="86" outlineLevel="1" ht="22" customHeight="1">
      <c r="A86" t="inlineStr">
        <is>
          <t>B5</t>
        </is>
      </c>
      <c r="B86" s="24" t="n"/>
      <c r="C86" s="25" t="n"/>
      <c r="D86" s="26" t="n"/>
      <c r="E86" s="26" t="n"/>
      <c r="F86" s="26" t="n"/>
      <c r="G86" s="26" t="n"/>
      <c r="H86" s="27">
        <f>IF(AND(F86="",G86=""),"",N(F86)+N(G86))</f>
        <v/>
      </c>
      <c r="I86" s="24" t="n"/>
      <c r="J86" s="26" t="n"/>
      <c r="K86" s="25" t="n"/>
      <c r="M86" s="28">
        <f>IFERROR(IF(D86="","",VLOOKUP(D86,WOTable,2,FALSE)),"")</f>
        <v/>
      </c>
      <c r="N86">
        <f>IF(OR(D86="",E86=""),"","WO"&amp;D86&amp;"OP"&amp;E86)</f>
        <v/>
      </c>
    </row>
    <row r="87" outlineLevel="1" ht="22" customHeight="1">
      <c r="A87" t="inlineStr">
        <is>
          <t>B5</t>
        </is>
      </c>
      <c r="B87" s="24" t="n"/>
      <c r="C87" s="25" t="n"/>
      <c r="D87" s="26" t="n"/>
      <c r="E87" s="26" t="n"/>
      <c r="F87" s="26" t="n"/>
      <c r="G87" s="26" t="n"/>
      <c r="H87" s="29">
        <f>IF(AND(F87="",G87=""),"",N(F87)+N(G87))</f>
        <v/>
      </c>
      <c r="I87" s="24" t="n"/>
      <c r="J87" s="26" t="n"/>
      <c r="K87" s="25" t="n"/>
      <c r="M87" s="28">
        <f>IFERROR(IF(D87="","",VLOOKUP(D87,WOTable,2,FALSE)),"")</f>
        <v/>
      </c>
      <c r="N87">
        <f>IF(OR(D87="",E87=""),"","WO"&amp;D87&amp;"OP"&amp;E87)</f>
        <v/>
      </c>
    </row>
    <row r="88" outlineLevel="1" ht="22" customHeight="1">
      <c r="A88" t="inlineStr">
        <is>
          <t>B5</t>
        </is>
      </c>
      <c r="B88" s="24" t="n"/>
      <c r="C88" s="25" t="n"/>
      <c r="D88" s="26" t="n"/>
      <c r="E88" s="26" t="n"/>
      <c r="F88" s="26" t="n"/>
      <c r="G88" s="26" t="n"/>
      <c r="H88" s="27">
        <f>IF(AND(F88="",G88=""),"",N(F88)+N(G88))</f>
        <v/>
      </c>
      <c r="I88" s="24" t="n"/>
      <c r="J88" s="26" t="n"/>
      <c r="K88" s="25" t="n"/>
      <c r="M88" s="28">
        <f>IFERROR(IF(D88="","",VLOOKUP(D88,WOTable,2,FALSE)),"")</f>
        <v/>
      </c>
      <c r="N88">
        <f>IF(OR(D88="",E88=""),"","WO"&amp;D88&amp;"OP"&amp;E88)</f>
        <v/>
      </c>
    </row>
    <row r="89" outlineLevel="1" ht="22" customHeight="1">
      <c r="A89" t="inlineStr">
        <is>
          <t>B5</t>
        </is>
      </c>
      <c r="B89" s="24" t="n"/>
      <c r="C89" s="25" t="n"/>
      <c r="D89" s="26" t="n"/>
      <c r="E89" s="26" t="n"/>
      <c r="F89" s="26" t="n"/>
      <c r="G89" s="26" t="n"/>
      <c r="H89" s="29">
        <f>IF(AND(F89="",G89=""),"",N(F89)+N(G89))</f>
        <v/>
      </c>
      <c r="I89" s="24" t="n"/>
      <c r="J89" s="26" t="n"/>
      <c r="K89" s="25" t="n"/>
      <c r="M89" s="28">
        <f>IFERROR(IF(D89="","",VLOOKUP(D89,WOTable,2,FALSE)),"")</f>
        <v/>
      </c>
      <c r="N89">
        <f>IF(OR(D89="",E89=""),"","WO"&amp;D89&amp;"OP"&amp;E89)</f>
        <v/>
      </c>
    </row>
    <row r="90" outlineLevel="1" ht="22" customHeight="1">
      <c r="A90" t="inlineStr">
        <is>
          <t>B5</t>
        </is>
      </c>
      <c r="B90" s="24" t="n"/>
      <c r="C90" s="25" t="n"/>
      <c r="D90" s="26" t="n"/>
      <c r="E90" s="26" t="n"/>
      <c r="F90" s="26" t="n"/>
      <c r="G90" s="26" t="n"/>
      <c r="H90" s="27">
        <f>IF(AND(F90="",G90=""),"",N(F90)+N(G90))</f>
        <v/>
      </c>
      <c r="I90" s="24" t="n"/>
      <c r="J90" s="26" t="n"/>
      <c r="K90" s="25" t="n"/>
      <c r="M90" s="28">
        <f>IFERROR(IF(D90="","",VLOOKUP(D90,WOTable,2,FALSE)),"")</f>
        <v/>
      </c>
      <c r="N90">
        <f>IF(OR(D90="",E90=""),"","WO"&amp;D90&amp;"OP"&amp;E90)</f>
        <v/>
      </c>
    </row>
    <row r="91" outlineLevel="1" ht="22" customHeight="1">
      <c r="A91" t="inlineStr">
        <is>
          <t>B5</t>
        </is>
      </c>
      <c r="B91" s="24" t="n"/>
      <c r="C91" s="25" t="n"/>
      <c r="D91" s="26" t="n"/>
      <c r="E91" s="26" t="n"/>
      <c r="F91" s="26" t="n"/>
      <c r="G91" s="26" t="n"/>
      <c r="H91" s="29">
        <f>IF(AND(F91="",G91=""),"",N(F91)+N(G91))</f>
        <v/>
      </c>
      <c r="I91" s="24" t="n"/>
      <c r="J91" s="26" t="n"/>
      <c r="K91" s="25" t="n"/>
      <c r="M91" s="28">
        <f>IFERROR(IF(D91="","",VLOOKUP(D91,WOTable,2,FALSE)),"")</f>
        <v/>
      </c>
      <c r="N91">
        <f>IF(OR(D91="",E91=""),"","WO"&amp;D91&amp;"OP"&amp;E91)</f>
        <v/>
      </c>
    </row>
    <row r="92" outlineLevel="1" ht="22" customHeight="1">
      <c r="A92" t="inlineStr">
        <is>
          <t>B5</t>
        </is>
      </c>
      <c r="B92" s="24" t="n"/>
      <c r="C92" s="25" t="n"/>
      <c r="D92" s="26" t="n"/>
      <c r="E92" s="26" t="n"/>
      <c r="F92" s="26" t="n"/>
      <c r="G92" s="26" t="n"/>
      <c r="H92" s="27">
        <f>IF(AND(F92="",G92=""),"",N(F92)+N(G92))</f>
        <v/>
      </c>
      <c r="I92" s="24" t="n"/>
      <c r="J92" s="26" t="n"/>
      <c r="K92" s="25" t="n"/>
      <c r="M92" s="28">
        <f>IFERROR(IF(D92="","",VLOOKUP(D92,WOTable,2,FALSE)),"")</f>
        <v/>
      </c>
      <c r="N92">
        <f>IF(OR(D92="",E92=""),"","WO"&amp;D92&amp;"OP"&amp;E92)</f>
        <v/>
      </c>
    </row>
    <row r="93" outlineLevel="1" ht="22" customHeight="1">
      <c r="A93" t="inlineStr">
        <is>
          <t>B5</t>
        </is>
      </c>
      <c r="B93" s="24" t="n"/>
      <c r="C93" s="25" t="n"/>
      <c r="D93" s="26" t="n"/>
      <c r="E93" s="26" t="n"/>
      <c r="F93" s="26" t="n"/>
      <c r="G93" s="26" t="n"/>
      <c r="H93" s="29">
        <f>IF(AND(F93="",G93=""),"",N(F93)+N(G93))</f>
        <v/>
      </c>
      <c r="I93" s="24" t="n"/>
      <c r="J93" s="26" t="n"/>
      <c r="K93" s="25" t="n"/>
      <c r="M93" s="28">
        <f>IFERROR(IF(D93="","",VLOOKUP(D93,WOTable,2,FALSE)),"")</f>
        <v/>
      </c>
      <c r="N93">
        <f>IF(OR(D93="",E93=""),"","WO"&amp;D93&amp;"OP"&amp;E93)</f>
        <v/>
      </c>
    </row>
    <row r="94" outlineLevel="1" ht="22" customHeight="1">
      <c r="A94" t="inlineStr">
        <is>
          <t>B5</t>
        </is>
      </c>
      <c r="B94" s="24" t="n"/>
      <c r="C94" s="25" t="n"/>
      <c r="D94" s="26" t="n"/>
      <c r="E94" s="26" t="n"/>
      <c r="F94" s="26" t="n"/>
      <c r="G94" s="26" t="n"/>
      <c r="H94" s="27">
        <f>IF(AND(F94="",G94=""),"",N(F94)+N(G94))</f>
        <v/>
      </c>
      <c r="I94" s="24" t="n"/>
      <c r="J94" s="26" t="n"/>
      <c r="K94" s="25" t="n"/>
      <c r="M94" s="28">
        <f>IFERROR(IF(D94="","",VLOOKUP(D94,WOTable,2,FALSE)),"")</f>
        <v/>
      </c>
      <c r="N94">
        <f>IF(OR(D94="",E94=""),"","WO"&amp;D94&amp;"OP"&amp;E94)</f>
        <v/>
      </c>
    </row>
    <row r="95" outlineLevel="1" ht="22" customHeight="1">
      <c r="A95" t="inlineStr">
        <is>
          <t>B5</t>
        </is>
      </c>
      <c r="B95" s="24" t="n"/>
      <c r="C95" s="25" t="n"/>
      <c r="D95" s="26" t="n"/>
      <c r="E95" s="26" t="n"/>
      <c r="F95" s="26" t="n"/>
      <c r="G95" s="26" t="n"/>
      <c r="H95" s="29">
        <f>IF(AND(F95="",G95=""),"",N(F95)+N(G95))</f>
        <v/>
      </c>
      <c r="I95" s="24" t="n"/>
      <c r="J95" s="26" t="n"/>
      <c r="K95" s="25" t="n"/>
      <c r="M95" s="28">
        <f>IFERROR(IF(D95="","",VLOOKUP(D95,WOTable,2,FALSE)),"")</f>
        <v/>
      </c>
      <c r="N95">
        <f>IF(OR(D95="",E95=""),"","WO"&amp;D95&amp;"OP"&amp;E95)</f>
        <v/>
      </c>
    </row>
  </sheetData>
  <mergeCells count="27">
    <mergeCell ref="D2:I2"/>
    <mergeCell ref="B9:K9"/>
    <mergeCell ref="C84:E84"/>
    <mergeCell ref="B15:E15"/>
    <mergeCell ref="E6:G6"/>
    <mergeCell ref="B5:N5"/>
    <mergeCell ref="M2:N2"/>
    <mergeCell ref="H6:I6"/>
    <mergeCell ref="C71:E71"/>
    <mergeCell ref="J6:K6"/>
    <mergeCell ref="B16:E16"/>
    <mergeCell ref="D3:I3"/>
    <mergeCell ref="E7:G7"/>
    <mergeCell ref="B6:D6"/>
    <mergeCell ref="C32:E32"/>
    <mergeCell ref="C19:E19"/>
    <mergeCell ref="B12:E12"/>
    <mergeCell ref="H7:I7"/>
    <mergeCell ref="J7:K7"/>
    <mergeCell ref="B11:E11"/>
    <mergeCell ref="B7:D7"/>
    <mergeCell ref="B14:E14"/>
    <mergeCell ref="C58:E58"/>
    <mergeCell ref="B17:E17"/>
    <mergeCell ref="B13:E13"/>
    <mergeCell ref="C45:E45"/>
    <mergeCell ref="B10:E10"/>
  </mergeCells>
  <conditionalFormatting sqref="B21:B30">
    <cfRule type="expression" priority="1" dxfId="0">
      <formula>AND($B21&lt;&gt;"",COUNTIF(EmpNames,$B21)=0)</formula>
    </cfRule>
  </conditionalFormatting>
  <conditionalFormatting sqref="C21:C30">
    <cfRule type="expression" priority="2" dxfId="0">
      <formula>AND($C21&lt;&gt;"",COUNTIF(TradeNames,$C21)=0)</formula>
    </cfRule>
  </conditionalFormatting>
  <conditionalFormatting sqref="D21:D30">
    <cfRule type="expression" priority="3" dxfId="0">
      <formula>AND($D21&lt;&gt;"",COUNTIF(WONames,$D21)=0)</formula>
    </cfRule>
  </conditionalFormatting>
  <conditionalFormatting sqref="E21:E30">
    <cfRule type="expression" priority="4" dxfId="1">
      <formula>AND($H21&lt;&gt;"",$E21="")</formula>
    </cfRule>
  </conditionalFormatting>
  <conditionalFormatting sqref="B34:B43">
    <cfRule type="expression" priority="5" dxfId="0">
      <formula>AND($B34&lt;&gt;"",COUNTIF(EmpNames,$B34)=0)</formula>
    </cfRule>
  </conditionalFormatting>
  <conditionalFormatting sqref="C34:C43">
    <cfRule type="expression" priority="6" dxfId="0">
      <formula>AND($C34&lt;&gt;"",COUNTIF(TradeNames,$C34)=0)</formula>
    </cfRule>
  </conditionalFormatting>
  <conditionalFormatting sqref="D34:D43">
    <cfRule type="expression" priority="7" dxfId="0">
      <formula>AND($D34&lt;&gt;"",COUNTIF(WONames,$D34)=0)</formula>
    </cfRule>
  </conditionalFormatting>
  <conditionalFormatting sqref="E34:E43">
    <cfRule type="expression" priority="8" dxfId="1">
      <formula>AND($H34&lt;&gt;"",$E34="")</formula>
    </cfRule>
  </conditionalFormatting>
  <conditionalFormatting sqref="B47:B56">
    <cfRule type="expression" priority="9" dxfId="0">
      <formula>AND($B47&lt;&gt;"",COUNTIF(EmpNames,$B47)=0)</formula>
    </cfRule>
  </conditionalFormatting>
  <conditionalFormatting sqref="C47:C56">
    <cfRule type="expression" priority="10" dxfId="0">
      <formula>AND($C47&lt;&gt;"",COUNTIF(TradeNames,$C47)=0)</formula>
    </cfRule>
  </conditionalFormatting>
  <conditionalFormatting sqref="D47:D56">
    <cfRule type="expression" priority="11" dxfId="0">
      <formula>AND($D47&lt;&gt;"",COUNTIF(WONames,$D47)=0)</formula>
    </cfRule>
  </conditionalFormatting>
  <conditionalFormatting sqref="E47:E56">
    <cfRule type="expression" priority="12" dxfId="1">
      <formula>AND($H47&lt;&gt;"",$E47="")</formula>
    </cfRule>
  </conditionalFormatting>
  <conditionalFormatting sqref="B60:B69">
    <cfRule type="expression" priority="13" dxfId="0">
      <formula>AND($B60&lt;&gt;"",COUNTIF(EmpNames,$B60)=0)</formula>
    </cfRule>
  </conditionalFormatting>
  <conditionalFormatting sqref="C60:C69">
    <cfRule type="expression" priority="14" dxfId="0">
      <formula>AND($C60&lt;&gt;"",COUNTIF(TradeNames,$C60)=0)</formula>
    </cfRule>
  </conditionalFormatting>
  <conditionalFormatting sqref="D60:D69">
    <cfRule type="expression" priority="15" dxfId="0">
      <formula>AND($D60&lt;&gt;"",COUNTIF(WONames,$D60)=0)</formula>
    </cfRule>
  </conditionalFormatting>
  <conditionalFormatting sqref="E60:E69">
    <cfRule type="expression" priority="16" dxfId="1">
      <formula>AND($H60&lt;&gt;"",$E60="")</formula>
    </cfRule>
  </conditionalFormatting>
  <conditionalFormatting sqref="B73:B82">
    <cfRule type="expression" priority="17" dxfId="0">
      <formula>AND($B73&lt;&gt;"",COUNTIF(EmpNames,$B73)=0)</formula>
    </cfRule>
  </conditionalFormatting>
  <conditionalFormatting sqref="C73:C82">
    <cfRule type="expression" priority="18" dxfId="0">
      <formula>AND($C73&lt;&gt;"",COUNTIF(TradeNames,$C73)=0)</formula>
    </cfRule>
  </conditionalFormatting>
  <conditionalFormatting sqref="D73:D82">
    <cfRule type="expression" priority="19" dxfId="0">
      <formula>AND($D73&lt;&gt;"",COUNTIF(WONames,$D73)=0)</formula>
    </cfRule>
  </conditionalFormatting>
  <conditionalFormatting sqref="E73:E82">
    <cfRule type="expression" priority="20" dxfId="1">
      <formula>AND($H73&lt;&gt;"",$E73="")</formula>
    </cfRule>
  </conditionalFormatting>
  <conditionalFormatting sqref="B86:B95">
    <cfRule type="expression" priority="21" dxfId="0">
      <formula>AND($B86&lt;&gt;"",COUNTIF(EmpNames,$B86)=0)</formula>
    </cfRule>
  </conditionalFormatting>
  <conditionalFormatting sqref="C86:C95">
    <cfRule type="expression" priority="22" dxfId="0">
      <formula>AND($C86&lt;&gt;"",COUNTIF(TradeNames,$C86)=0)</formula>
    </cfRule>
  </conditionalFormatting>
  <conditionalFormatting sqref="D86:D95">
    <cfRule type="expression" priority="23" dxfId="0">
      <formula>AND($D86&lt;&gt;"",COUNTIF(WONames,$D86)=0)</formula>
    </cfRule>
  </conditionalFormatting>
  <conditionalFormatting sqref="E86:E95">
    <cfRule type="expression" priority="24" dxfId="1">
      <formula>AND($H86&lt;&gt;"",$E86="")</formula>
    </cfRule>
  </conditionalFormatting>
  <dataValidations count="252">
    <dataValidation sqref="B7" showDropDown="0" showInputMessage="0" showErrorMessage="0" allowBlank="1" type="list">
      <formula1>=VendorNames</formula1>
    </dataValidation>
    <dataValidation sqref="H7" showDropDown="0" showInputMessage="0" showErrorMessage="0" allowBlank="1" type="list">
      <formula1>=ShiftList</formula1>
    </dataValidation>
    <dataValidation sqref="C19" showDropDown="0" showInputMessage="0" showErrorMessage="0" allowBlank="1" type="list">
      <formula1>=PONames</formula1>
    </dataValidation>
    <dataValidation sqref="E21" showDropDown="0" showInputMessage="0" showErrorMessage="0" allowBlank="1" type="list">
      <formula1>=INDIRECT("WO_"&amp;$D21)</formula1>
    </dataValidation>
    <dataValidation sqref="F21" showDropDown="0" showInputMessage="0" showErrorMessage="1" allowBlank="1" errorTitle="Invalid hours" error="Enter 0 or more." type="decimal" operator="greaterThanOrEqual">
      <formula1>0</formula1>
    </dataValidation>
    <dataValidation sqref="G21" showDropDown="0" showInputMessage="0" showErrorMessage="1" allowBlank="1" errorTitle="Invalid hours" error="Enter 0 or more." type="decimal" operator="greaterThanOrEqual">
      <formula1>0</formula1>
    </dataValidation>
    <dataValidation sqref="J21" showDropDown="0" showInputMessage="0" showErrorMessage="1" allowBlank="1" errorTitle="Invalid hours" error="Enter 0 or more." type="decimal" operator="greaterThanOrEqual">
      <formula1>0</formula1>
    </dataValidation>
    <dataValidation sqref="E22" showDropDown="0" showInputMessage="0" showErrorMessage="0" allowBlank="1" type="list">
      <formula1>=INDIRECT("WO_"&amp;$D22)</formula1>
    </dataValidation>
    <dataValidation sqref="F22" showDropDown="0" showInputMessage="0" showErrorMessage="1" allowBlank="1" errorTitle="Invalid hours" error="Enter 0 or more." type="decimal" operator="greaterThanOrEqual">
      <formula1>0</formula1>
    </dataValidation>
    <dataValidation sqref="G22" showDropDown="0" showInputMessage="0" showErrorMessage="1" allowBlank="1" errorTitle="Invalid hours" error="Enter 0 or more." type="decimal" operator="greaterThanOrEqual">
      <formula1>0</formula1>
    </dataValidation>
    <dataValidation sqref="J22" showDropDown="0" showInputMessage="0" showErrorMessage="1" allowBlank="1" errorTitle="Invalid hours" error="Enter 0 or more." type="decimal" operator="greaterThanOrEqual">
      <formula1>0</formula1>
    </dataValidation>
    <dataValidation sqref="E23" showDropDown="0" showInputMessage="0" showErrorMessage="0" allowBlank="1" type="list">
      <formula1>=INDIRECT("WO_"&amp;$D23)</formula1>
    </dataValidation>
    <dataValidation sqref="F23" showDropDown="0" showInputMessage="0" showErrorMessage="1" allowBlank="1" errorTitle="Invalid hours" error="Enter 0 or more." type="decimal" operator="greaterThanOrEqual">
      <formula1>0</formula1>
    </dataValidation>
    <dataValidation sqref="G23" showDropDown="0" showInputMessage="0" showErrorMessage="1" allowBlank="1" errorTitle="Invalid hours" error="Enter 0 or more." type="decimal" operator="greaterThanOrEqual">
      <formula1>0</formula1>
    </dataValidation>
    <dataValidation sqref="J23" showDropDown="0" showInputMessage="0" showErrorMessage="1" allowBlank="1" errorTitle="Invalid hours" error="Enter 0 or more." type="decimal" operator="greaterThanOrEqual">
      <formula1>0</formula1>
    </dataValidation>
    <dataValidation sqref="E24" showDropDown="0" showInputMessage="0" showErrorMessage="0" allowBlank="1" type="list">
      <formula1>=INDIRECT("WO_"&amp;$D24)</formula1>
    </dataValidation>
    <dataValidation sqref="F24" showDropDown="0" showInputMessage="0" showErrorMessage="1" allowBlank="1" errorTitle="Invalid hours" error="Enter 0 or more." type="decimal" operator="greaterThanOrEqual">
      <formula1>0</formula1>
    </dataValidation>
    <dataValidation sqref="G24" showDropDown="0" showInputMessage="0" showErrorMessage="1" allowBlank="1" errorTitle="Invalid hours" error="Enter 0 or more." type="decimal" operator="greaterThanOrEqual">
      <formula1>0</formula1>
    </dataValidation>
    <dataValidation sqref="J24" showDropDown="0" showInputMessage="0" showErrorMessage="1" allowBlank="1" errorTitle="Invalid hours" error="Enter 0 or more." type="decimal" operator="greaterThanOrEqual">
      <formula1>0</formula1>
    </dataValidation>
    <dataValidation sqref="E25" showDropDown="0" showInputMessage="0" showErrorMessage="0" allowBlank="1" type="list">
      <formula1>=INDIRECT("WO_"&amp;$D25)</formula1>
    </dataValidation>
    <dataValidation sqref="F25" showDropDown="0" showInputMessage="0" showErrorMessage="1" allowBlank="1" errorTitle="Invalid hours" error="Enter 0 or more." type="decimal" operator="greaterThanOrEqual">
      <formula1>0</formula1>
    </dataValidation>
    <dataValidation sqref="G25" showDropDown="0" showInputMessage="0" showErrorMessage="1" allowBlank="1" errorTitle="Invalid hours" error="Enter 0 or more." type="decimal" operator="greaterThanOrEqual">
      <formula1>0</formula1>
    </dataValidation>
    <dataValidation sqref="J25" showDropDown="0" showInputMessage="0" showErrorMessage="1" allowBlank="1" errorTitle="Invalid hours" error="Enter 0 or more." type="decimal" operator="greaterThanOrEqual">
      <formula1>0</formula1>
    </dataValidation>
    <dataValidation sqref="E26" showDropDown="0" showInputMessage="0" showErrorMessage="0" allowBlank="1" type="list">
      <formula1>=INDIRECT("WO_"&amp;$D26)</formula1>
    </dataValidation>
    <dataValidation sqref="F26" showDropDown="0" showInputMessage="0" showErrorMessage="1" allowBlank="1" errorTitle="Invalid hours" error="Enter 0 or more." type="decimal" operator="greaterThanOrEqual">
      <formula1>0</formula1>
    </dataValidation>
    <dataValidation sqref="G26" showDropDown="0" showInputMessage="0" showErrorMessage="1" allowBlank="1" errorTitle="Invalid hours" error="Enter 0 or more." type="decimal" operator="greaterThanOrEqual">
      <formula1>0</formula1>
    </dataValidation>
    <dataValidation sqref="J26" showDropDown="0" showInputMessage="0" showErrorMessage="1" allowBlank="1" errorTitle="Invalid hours" error="Enter 0 or more." type="decimal" operator="greaterThanOrEqual">
      <formula1>0</formula1>
    </dataValidation>
    <dataValidation sqref="E27" showDropDown="0" showInputMessage="0" showErrorMessage="0" allowBlank="1" type="list">
      <formula1>=INDIRECT("WO_"&amp;$D27)</formula1>
    </dataValidation>
    <dataValidation sqref="F27" showDropDown="0" showInputMessage="0" showErrorMessage="1" allowBlank="1" errorTitle="Invalid hours" error="Enter 0 or more." type="decimal" operator="greaterThanOrEqual">
      <formula1>0</formula1>
    </dataValidation>
    <dataValidation sqref="G27" showDropDown="0" showInputMessage="0" showErrorMessage="1" allowBlank="1" errorTitle="Invalid hours" error="Enter 0 or more." type="decimal" operator="greaterThanOrEqual">
      <formula1>0</formula1>
    </dataValidation>
    <dataValidation sqref="J27" showDropDown="0" showInputMessage="0" showErrorMessage="1" allowBlank="1" errorTitle="Invalid hours" error="Enter 0 or more." type="decimal" operator="greaterThanOrEqual">
      <formula1>0</formula1>
    </dataValidation>
    <dataValidation sqref="E28" showDropDown="0" showInputMessage="0" showErrorMessage="0" allowBlank="1" type="list">
      <formula1>=INDIRECT("WO_"&amp;$D28)</formula1>
    </dataValidation>
    <dataValidation sqref="F28" showDropDown="0" showInputMessage="0" showErrorMessage="1" allowBlank="1" errorTitle="Invalid hours" error="Enter 0 or more." type="decimal" operator="greaterThanOrEqual">
      <formula1>0</formula1>
    </dataValidation>
    <dataValidation sqref="G28" showDropDown="0" showInputMessage="0" showErrorMessage="1" allowBlank="1" errorTitle="Invalid hours" error="Enter 0 or more." type="decimal" operator="greaterThanOrEqual">
      <formula1>0</formula1>
    </dataValidation>
    <dataValidation sqref="J28" showDropDown="0" showInputMessage="0" showErrorMessage="1" allowBlank="1" errorTitle="Invalid hours" error="Enter 0 or more." type="decimal" operator="greaterThanOrEqual">
      <formula1>0</formula1>
    </dataValidation>
    <dataValidation sqref="E29" showDropDown="0" showInputMessage="0" showErrorMessage="0" allowBlank="1" type="list">
      <formula1>=INDIRECT("WO_"&amp;$D29)</formula1>
    </dataValidation>
    <dataValidation sqref="F29" showDropDown="0" showInputMessage="0" showErrorMessage="1" allowBlank="1" errorTitle="Invalid hours" error="Enter 0 or more." type="decimal" operator="greaterThanOrEqual">
      <formula1>0</formula1>
    </dataValidation>
    <dataValidation sqref="G29" showDropDown="0" showInputMessage="0" showErrorMessage="1" allowBlank="1" errorTitle="Invalid hours" error="Enter 0 or more." type="decimal" operator="greaterThanOrEqual">
      <formula1>0</formula1>
    </dataValidation>
    <dataValidation sqref="J29" showDropDown="0" showInputMessage="0" showErrorMessage="1" allowBlank="1" errorTitle="Invalid hours" error="Enter 0 or more." type="decimal" operator="greaterThanOrEqual">
      <formula1>0</formula1>
    </dataValidation>
    <dataValidation sqref="E30" showDropDown="0" showInputMessage="0" showErrorMessage="0" allowBlank="1" type="list">
      <formula1>=INDIRECT("WO_"&amp;$D30)</formula1>
    </dataValidation>
    <dataValidation sqref="F30" showDropDown="0" showInputMessage="0" showErrorMessage="1" allowBlank="1" errorTitle="Invalid hours" error="Enter 0 or more." type="decimal" operator="greaterThanOrEqual">
      <formula1>0</formula1>
    </dataValidation>
    <dataValidation sqref="G30" showDropDown="0" showInputMessage="0" showErrorMessage="1" allowBlank="1" errorTitle="Invalid hours" error="Enter 0 or more." type="decimal" operator="greaterThanOrEqual">
      <formula1>0</formula1>
    </dataValidation>
    <dataValidation sqref="J30" showDropDown="0" showInputMessage="0" showErrorMessage="1" allowBlank="1" errorTitle="Invalid hours" error="Enter 0 or more." type="decimal" operator="greaterThanOrEqual">
      <formula1>0</formula1>
    </dataValidation>
    <dataValidation sqref="C32" showDropDown="0" showInputMessage="0" showErrorMessage="0" allowBlank="1" type="list">
      <formula1>=PONames</formula1>
    </dataValidation>
    <dataValidation sqref="E34" showDropDown="0" showInputMessage="0" showErrorMessage="0" allowBlank="1" type="list">
      <formula1>=INDIRECT("WO_"&amp;$D34)</formula1>
    </dataValidation>
    <dataValidation sqref="F34" showDropDown="0" showInputMessage="0" showErrorMessage="1" allowBlank="1" errorTitle="Invalid hours" error="Enter 0 or more." type="decimal" operator="greaterThanOrEqual">
      <formula1>0</formula1>
    </dataValidation>
    <dataValidation sqref="G34" showDropDown="0" showInputMessage="0" showErrorMessage="1" allowBlank="1" errorTitle="Invalid hours" error="Enter 0 or more." type="decimal" operator="greaterThanOrEqual">
      <formula1>0</formula1>
    </dataValidation>
    <dataValidation sqref="J34" showDropDown="0" showInputMessage="0" showErrorMessage="1" allowBlank="1" errorTitle="Invalid hours" error="Enter 0 or more." type="decimal" operator="greaterThanOrEqual">
      <formula1>0</formula1>
    </dataValidation>
    <dataValidation sqref="E35" showDropDown="0" showInputMessage="0" showErrorMessage="0" allowBlank="1" type="list">
      <formula1>=INDIRECT("WO_"&amp;$D35)</formula1>
    </dataValidation>
    <dataValidation sqref="F35" showDropDown="0" showInputMessage="0" showErrorMessage="1" allowBlank="1" errorTitle="Invalid hours" error="Enter 0 or more." type="decimal" operator="greaterThanOrEqual">
      <formula1>0</formula1>
    </dataValidation>
    <dataValidation sqref="G35" showDropDown="0" showInputMessage="0" showErrorMessage="1" allowBlank="1" errorTitle="Invalid hours" error="Enter 0 or more." type="decimal" operator="greaterThanOrEqual">
      <formula1>0</formula1>
    </dataValidation>
    <dataValidation sqref="J35" showDropDown="0" showInputMessage="0" showErrorMessage="1" allowBlank="1" errorTitle="Invalid hours" error="Enter 0 or more." type="decimal" operator="greaterThanOrEqual">
      <formula1>0</formula1>
    </dataValidation>
    <dataValidation sqref="E36" showDropDown="0" showInputMessage="0" showErrorMessage="0" allowBlank="1" type="list">
      <formula1>=INDIRECT("WO_"&amp;$D36)</formula1>
    </dataValidation>
    <dataValidation sqref="F36" showDropDown="0" showInputMessage="0" showErrorMessage="1" allowBlank="1" errorTitle="Invalid hours" error="Enter 0 or more." type="decimal" operator="greaterThanOrEqual">
      <formula1>0</formula1>
    </dataValidation>
    <dataValidation sqref="G36" showDropDown="0" showInputMessage="0" showErrorMessage="1" allowBlank="1" errorTitle="Invalid hours" error="Enter 0 or more." type="decimal" operator="greaterThanOrEqual">
      <formula1>0</formula1>
    </dataValidation>
    <dataValidation sqref="J36" showDropDown="0" showInputMessage="0" showErrorMessage="1" allowBlank="1" errorTitle="Invalid hours" error="Enter 0 or more." type="decimal" operator="greaterThanOrEqual">
      <formula1>0</formula1>
    </dataValidation>
    <dataValidation sqref="E37" showDropDown="0" showInputMessage="0" showErrorMessage="0" allowBlank="1" type="list">
      <formula1>=INDIRECT("WO_"&amp;$D37)</formula1>
    </dataValidation>
    <dataValidation sqref="F37" showDropDown="0" showInputMessage="0" showErrorMessage="1" allowBlank="1" errorTitle="Invalid hours" error="Enter 0 or more." type="decimal" operator="greaterThanOrEqual">
      <formula1>0</formula1>
    </dataValidation>
    <dataValidation sqref="G37" showDropDown="0" showInputMessage="0" showErrorMessage="1" allowBlank="1" errorTitle="Invalid hours" error="Enter 0 or more." type="decimal" operator="greaterThanOrEqual">
      <formula1>0</formula1>
    </dataValidation>
    <dataValidation sqref="J37" showDropDown="0" showInputMessage="0" showErrorMessage="1" allowBlank="1" errorTitle="Invalid hours" error="Enter 0 or more." type="decimal" operator="greaterThanOrEqual">
      <formula1>0</formula1>
    </dataValidation>
    <dataValidation sqref="E38" showDropDown="0" showInputMessage="0" showErrorMessage="0" allowBlank="1" type="list">
      <formula1>=INDIRECT("WO_"&amp;$D38)</formula1>
    </dataValidation>
    <dataValidation sqref="F38" showDropDown="0" showInputMessage="0" showErrorMessage="1" allowBlank="1" errorTitle="Invalid hours" error="Enter 0 or more." type="decimal" operator="greaterThanOrEqual">
      <formula1>0</formula1>
    </dataValidation>
    <dataValidation sqref="G38" showDropDown="0" showInputMessage="0" showErrorMessage="1" allowBlank="1" errorTitle="Invalid hours" error="Enter 0 or more." type="decimal" operator="greaterThanOrEqual">
      <formula1>0</formula1>
    </dataValidation>
    <dataValidation sqref="J38" showDropDown="0" showInputMessage="0" showErrorMessage="1" allowBlank="1" errorTitle="Invalid hours" error="Enter 0 or more." type="decimal" operator="greaterThanOrEqual">
      <formula1>0</formula1>
    </dataValidation>
    <dataValidation sqref="E39" showDropDown="0" showInputMessage="0" showErrorMessage="0" allowBlank="1" type="list">
      <formula1>=INDIRECT("WO_"&amp;$D39)</formula1>
    </dataValidation>
    <dataValidation sqref="F39" showDropDown="0" showInputMessage="0" showErrorMessage="1" allowBlank="1" errorTitle="Invalid hours" error="Enter 0 or more." type="decimal" operator="greaterThanOrEqual">
      <formula1>0</formula1>
    </dataValidation>
    <dataValidation sqref="G39" showDropDown="0" showInputMessage="0" showErrorMessage="1" allowBlank="1" errorTitle="Invalid hours" error="Enter 0 or more." type="decimal" operator="greaterThanOrEqual">
      <formula1>0</formula1>
    </dataValidation>
    <dataValidation sqref="J39" showDropDown="0" showInputMessage="0" showErrorMessage="1" allowBlank="1" errorTitle="Invalid hours" error="Enter 0 or more." type="decimal" operator="greaterThanOrEqual">
      <formula1>0</formula1>
    </dataValidation>
    <dataValidation sqref="E40" showDropDown="0" showInputMessage="0" showErrorMessage="0" allowBlank="1" type="list">
      <formula1>=INDIRECT("WO_"&amp;$D40)</formula1>
    </dataValidation>
    <dataValidation sqref="F40" showDropDown="0" showInputMessage="0" showErrorMessage="1" allowBlank="1" errorTitle="Invalid hours" error="Enter 0 or more." type="decimal" operator="greaterThanOrEqual">
      <formula1>0</formula1>
    </dataValidation>
    <dataValidation sqref="G40" showDropDown="0" showInputMessage="0" showErrorMessage="1" allowBlank="1" errorTitle="Invalid hours" error="Enter 0 or more." type="decimal" operator="greaterThanOrEqual">
      <formula1>0</formula1>
    </dataValidation>
    <dataValidation sqref="J40" showDropDown="0" showInputMessage="0" showErrorMessage="1" allowBlank="1" errorTitle="Invalid hours" error="Enter 0 or more." type="decimal" operator="greaterThanOrEqual">
      <formula1>0</formula1>
    </dataValidation>
    <dataValidation sqref="E41" showDropDown="0" showInputMessage="0" showErrorMessage="0" allowBlank="1" type="list">
      <formula1>=INDIRECT("WO_"&amp;$D41)</formula1>
    </dataValidation>
    <dataValidation sqref="F41" showDropDown="0" showInputMessage="0" showErrorMessage="1" allowBlank="1" errorTitle="Invalid hours" error="Enter 0 or more." type="decimal" operator="greaterThanOrEqual">
      <formula1>0</formula1>
    </dataValidation>
    <dataValidation sqref="G41" showDropDown="0" showInputMessage="0" showErrorMessage="1" allowBlank="1" errorTitle="Invalid hours" error="Enter 0 or more." type="decimal" operator="greaterThanOrEqual">
      <formula1>0</formula1>
    </dataValidation>
    <dataValidation sqref="J41" showDropDown="0" showInputMessage="0" showErrorMessage="1" allowBlank="1" errorTitle="Invalid hours" error="Enter 0 or more." type="decimal" operator="greaterThanOrEqual">
      <formula1>0</formula1>
    </dataValidation>
    <dataValidation sqref="E42" showDropDown="0" showInputMessage="0" showErrorMessage="0" allowBlank="1" type="list">
      <formula1>=INDIRECT("WO_"&amp;$D42)</formula1>
    </dataValidation>
    <dataValidation sqref="F42" showDropDown="0" showInputMessage="0" showErrorMessage="1" allowBlank="1" errorTitle="Invalid hours" error="Enter 0 or more." type="decimal" operator="greaterThanOrEqual">
      <formula1>0</formula1>
    </dataValidation>
    <dataValidation sqref="G42" showDropDown="0" showInputMessage="0" showErrorMessage="1" allowBlank="1" errorTitle="Invalid hours" error="Enter 0 or more." type="decimal" operator="greaterThanOrEqual">
      <formula1>0</formula1>
    </dataValidation>
    <dataValidation sqref="J42" showDropDown="0" showInputMessage="0" showErrorMessage="1" allowBlank="1" errorTitle="Invalid hours" error="Enter 0 or more." type="decimal" operator="greaterThanOrEqual">
      <formula1>0</formula1>
    </dataValidation>
    <dataValidation sqref="E43" showDropDown="0" showInputMessage="0" showErrorMessage="0" allowBlank="1" type="list">
      <formula1>=INDIRECT("WO_"&amp;$D43)</formula1>
    </dataValidation>
    <dataValidation sqref="F43" showDropDown="0" showInputMessage="0" showErrorMessage="1" allowBlank="1" errorTitle="Invalid hours" error="Enter 0 or more." type="decimal" operator="greaterThanOrEqual">
      <formula1>0</formula1>
    </dataValidation>
    <dataValidation sqref="G43" showDropDown="0" showInputMessage="0" showErrorMessage="1" allowBlank="1" errorTitle="Invalid hours" error="Enter 0 or more." type="decimal" operator="greaterThanOrEqual">
      <formula1>0</formula1>
    </dataValidation>
    <dataValidation sqref="J43" showDropDown="0" showInputMessage="0" showErrorMessage="1" allowBlank="1" errorTitle="Invalid hours" error="Enter 0 or more." type="decimal" operator="greaterThanOrEqual">
      <formula1>0</formula1>
    </dataValidation>
    <dataValidation sqref="C45" showDropDown="0" showInputMessage="0" showErrorMessage="0" allowBlank="1" type="list">
      <formula1>=PONames</formula1>
    </dataValidation>
    <dataValidation sqref="E47" showDropDown="0" showInputMessage="0" showErrorMessage="0" allowBlank="1" type="list">
      <formula1>=INDIRECT("WO_"&amp;$D47)</formula1>
    </dataValidation>
    <dataValidation sqref="F47" showDropDown="0" showInputMessage="0" showErrorMessage="1" allowBlank="1" errorTitle="Invalid hours" error="Enter 0 or more." type="decimal" operator="greaterThanOrEqual">
      <formula1>0</formula1>
    </dataValidation>
    <dataValidation sqref="G47" showDropDown="0" showInputMessage="0" showErrorMessage="1" allowBlank="1" errorTitle="Invalid hours" error="Enter 0 or more." type="decimal" operator="greaterThanOrEqual">
      <formula1>0</formula1>
    </dataValidation>
    <dataValidation sqref="J47" showDropDown="0" showInputMessage="0" showErrorMessage="1" allowBlank="1" errorTitle="Invalid hours" error="Enter 0 or more." type="decimal" operator="greaterThanOrEqual">
      <formula1>0</formula1>
    </dataValidation>
    <dataValidation sqref="E48" showDropDown="0" showInputMessage="0" showErrorMessage="0" allowBlank="1" type="list">
      <formula1>=INDIRECT("WO_"&amp;$D48)</formula1>
    </dataValidation>
    <dataValidation sqref="F48" showDropDown="0" showInputMessage="0" showErrorMessage="1" allowBlank="1" errorTitle="Invalid hours" error="Enter 0 or more." type="decimal" operator="greaterThanOrEqual">
      <formula1>0</formula1>
    </dataValidation>
    <dataValidation sqref="G48" showDropDown="0" showInputMessage="0" showErrorMessage="1" allowBlank="1" errorTitle="Invalid hours" error="Enter 0 or more." type="decimal" operator="greaterThanOrEqual">
      <formula1>0</formula1>
    </dataValidation>
    <dataValidation sqref="J48" showDropDown="0" showInputMessage="0" showErrorMessage="1" allowBlank="1" errorTitle="Invalid hours" error="Enter 0 or more." type="decimal" operator="greaterThanOrEqual">
      <formula1>0</formula1>
    </dataValidation>
    <dataValidation sqref="E49" showDropDown="0" showInputMessage="0" showErrorMessage="0" allowBlank="1" type="list">
      <formula1>=INDIRECT("WO_"&amp;$D49)</formula1>
    </dataValidation>
    <dataValidation sqref="F49" showDropDown="0" showInputMessage="0" showErrorMessage="1" allowBlank="1" errorTitle="Invalid hours" error="Enter 0 or more." type="decimal" operator="greaterThanOrEqual">
      <formula1>0</formula1>
    </dataValidation>
    <dataValidation sqref="G49" showDropDown="0" showInputMessage="0" showErrorMessage="1" allowBlank="1" errorTitle="Invalid hours" error="Enter 0 or more." type="decimal" operator="greaterThanOrEqual">
      <formula1>0</formula1>
    </dataValidation>
    <dataValidation sqref="J49" showDropDown="0" showInputMessage="0" showErrorMessage="1" allowBlank="1" errorTitle="Invalid hours" error="Enter 0 or more." type="decimal" operator="greaterThanOrEqual">
      <formula1>0</formula1>
    </dataValidation>
    <dataValidation sqref="E50" showDropDown="0" showInputMessage="0" showErrorMessage="0" allowBlank="1" type="list">
      <formula1>=INDIRECT("WO_"&amp;$D50)</formula1>
    </dataValidation>
    <dataValidation sqref="F50" showDropDown="0" showInputMessage="0" showErrorMessage="1" allowBlank="1" errorTitle="Invalid hours" error="Enter 0 or more." type="decimal" operator="greaterThanOrEqual">
      <formula1>0</formula1>
    </dataValidation>
    <dataValidation sqref="G50" showDropDown="0" showInputMessage="0" showErrorMessage="1" allowBlank="1" errorTitle="Invalid hours" error="Enter 0 or more." type="decimal" operator="greaterThanOrEqual">
      <formula1>0</formula1>
    </dataValidation>
    <dataValidation sqref="J50" showDropDown="0" showInputMessage="0" showErrorMessage="1" allowBlank="1" errorTitle="Invalid hours" error="Enter 0 or more." type="decimal" operator="greaterThanOrEqual">
      <formula1>0</formula1>
    </dataValidation>
    <dataValidation sqref="E51" showDropDown="0" showInputMessage="0" showErrorMessage="0" allowBlank="1" type="list">
      <formula1>=INDIRECT("WO_"&amp;$D51)</formula1>
    </dataValidation>
    <dataValidation sqref="F51" showDropDown="0" showInputMessage="0" showErrorMessage="1" allowBlank="1" errorTitle="Invalid hours" error="Enter 0 or more." type="decimal" operator="greaterThanOrEqual">
      <formula1>0</formula1>
    </dataValidation>
    <dataValidation sqref="G51" showDropDown="0" showInputMessage="0" showErrorMessage="1" allowBlank="1" errorTitle="Invalid hours" error="Enter 0 or more." type="decimal" operator="greaterThanOrEqual">
      <formula1>0</formula1>
    </dataValidation>
    <dataValidation sqref="J51" showDropDown="0" showInputMessage="0" showErrorMessage="1" allowBlank="1" errorTitle="Invalid hours" error="Enter 0 or more." type="decimal" operator="greaterThanOrEqual">
      <formula1>0</formula1>
    </dataValidation>
    <dataValidation sqref="E52" showDropDown="0" showInputMessage="0" showErrorMessage="0" allowBlank="1" type="list">
      <formula1>=INDIRECT("WO_"&amp;$D52)</formula1>
    </dataValidation>
    <dataValidation sqref="F52" showDropDown="0" showInputMessage="0" showErrorMessage="1" allowBlank="1" errorTitle="Invalid hours" error="Enter 0 or more." type="decimal" operator="greaterThanOrEqual">
      <formula1>0</formula1>
    </dataValidation>
    <dataValidation sqref="G52" showDropDown="0" showInputMessage="0" showErrorMessage="1" allowBlank="1" errorTitle="Invalid hours" error="Enter 0 or more." type="decimal" operator="greaterThanOrEqual">
      <formula1>0</formula1>
    </dataValidation>
    <dataValidation sqref="J52" showDropDown="0" showInputMessage="0" showErrorMessage="1" allowBlank="1" errorTitle="Invalid hours" error="Enter 0 or more." type="decimal" operator="greaterThanOrEqual">
      <formula1>0</formula1>
    </dataValidation>
    <dataValidation sqref="E53" showDropDown="0" showInputMessage="0" showErrorMessage="0" allowBlank="1" type="list">
      <formula1>=INDIRECT("WO_"&amp;$D53)</formula1>
    </dataValidation>
    <dataValidation sqref="F53" showDropDown="0" showInputMessage="0" showErrorMessage="1" allowBlank="1" errorTitle="Invalid hours" error="Enter 0 or more." type="decimal" operator="greaterThanOrEqual">
      <formula1>0</formula1>
    </dataValidation>
    <dataValidation sqref="G53" showDropDown="0" showInputMessage="0" showErrorMessage="1" allowBlank="1" errorTitle="Invalid hours" error="Enter 0 or more." type="decimal" operator="greaterThanOrEqual">
      <formula1>0</formula1>
    </dataValidation>
    <dataValidation sqref="J53" showDropDown="0" showInputMessage="0" showErrorMessage="1" allowBlank="1" errorTitle="Invalid hours" error="Enter 0 or more." type="decimal" operator="greaterThanOrEqual">
      <formula1>0</formula1>
    </dataValidation>
    <dataValidation sqref="E54" showDropDown="0" showInputMessage="0" showErrorMessage="0" allowBlank="1" type="list">
      <formula1>=INDIRECT("WO_"&amp;$D54)</formula1>
    </dataValidation>
    <dataValidation sqref="F54" showDropDown="0" showInputMessage="0" showErrorMessage="1" allowBlank="1" errorTitle="Invalid hours" error="Enter 0 or more." type="decimal" operator="greaterThanOrEqual">
      <formula1>0</formula1>
    </dataValidation>
    <dataValidation sqref="G54" showDropDown="0" showInputMessage="0" showErrorMessage="1" allowBlank="1" errorTitle="Invalid hours" error="Enter 0 or more." type="decimal" operator="greaterThanOrEqual">
      <formula1>0</formula1>
    </dataValidation>
    <dataValidation sqref="J54" showDropDown="0" showInputMessage="0" showErrorMessage="1" allowBlank="1" errorTitle="Invalid hours" error="Enter 0 or more." type="decimal" operator="greaterThanOrEqual">
      <formula1>0</formula1>
    </dataValidation>
    <dataValidation sqref="E55" showDropDown="0" showInputMessage="0" showErrorMessage="0" allowBlank="1" type="list">
      <formula1>=INDIRECT("WO_"&amp;$D55)</formula1>
    </dataValidation>
    <dataValidation sqref="F55" showDropDown="0" showInputMessage="0" showErrorMessage="1" allowBlank="1" errorTitle="Invalid hours" error="Enter 0 or more." type="decimal" operator="greaterThanOrEqual">
      <formula1>0</formula1>
    </dataValidation>
    <dataValidation sqref="G55" showDropDown="0" showInputMessage="0" showErrorMessage="1" allowBlank="1" errorTitle="Invalid hours" error="Enter 0 or more." type="decimal" operator="greaterThanOrEqual">
      <formula1>0</formula1>
    </dataValidation>
    <dataValidation sqref="J55" showDropDown="0" showInputMessage="0" showErrorMessage="1" allowBlank="1" errorTitle="Invalid hours" error="Enter 0 or more." type="decimal" operator="greaterThanOrEqual">
      <formula1>0</formula1>
    </dataValidation>
    <dataValidation sqref="E56" showDropDown="0" showInputMessage="0" showErrorMessage="0" allowBlank="1" type="list">
      <formula1>=INDIRECT("WO_"&amp;$D56)</formula1>
    </dataValidation>
    <dataValidation sqref="F56" showDropDown="0" showInputMessage="0" showErrorMessage="1" allowBlank="1" errorTitle="Invalid hours" error="Enter 0 or more." type="decimal" operator="greaterThanOrEqual">
      <formula1>0</formula1>
    </dataValidation>
    <dataValidation sqref="G56" showDropDown="0" showInputMessage="0" showErrorMessage="1" allowBlank="1" errorTitle="Invalid hours" error="Enter 0 or more." type="decimal" operator="greaterThanOrEqual">
      <formula1>0</formula1>
    </dataValidation>
    <dataValidation sqref="J56" showDropDown="0" showInputMessage="0" showErrorMessage="1" allowBlank="1" errorTitle="Invalid hours" error="Enter 0 or more." type="decimal" operator="greaterThanOrEqual">
      <formula1>0</formula1>
    </dataValidation>
    <dataValidation sqref="C58" showDropDown="0" showInputMessage="0" showErrorMessage="0" allowBlank="1" type="list">
      <formula1>=PONames</formula1>
    </dataValidation>
    <dataValidation sqref="E60" showDropDown="0" showInputMessage="0" showErrorMessage="0" allowBlank="1" type="list">
      <formula1>=INDIRECT("WO_"&amp;$D60)</formula1>
    </dataValidation>
    <dataValidation sqref="F60" showDropDown="0" showInputMessage="0" showErrorMessage="1" allowBlank="1" errorTitle="Invalid hours" error="Enter 0 or more." type="decimal" operator="greaterThanOrEqual">
      <formula1>0</formula1>
    </dataValidation>
    <dataValidation sqref="G60" showDropDown="0" showInputMessage="0" showErrorMessage="1" allowBlank="1" errorTitle="Invalid hours" error="Enter 0 or more." type="decimal" operator="greaterThanOrEqual">
      <formula1>0</formula1>
    </dataValidation>
    <dataValidation sqref="J60" showDropDown="0" showInputMessage="0" showErrorMessage="1" allowBlank="1" errorTitle="Invalid hours" error="Enter 0 or more." type="decimal" operator="greaterThanOrEqual">
      <formula1>0</formula1>
    </dataValidation>
    <dataValidation sqref="E61" showDropDown="0" showInputMessage="0" showErrorMessage="0" allowBlank="1" type="list">
      <formula1>=INDIRECT("WO_"&amp;$D61)</formula1>
    </dataValidation>
    <dataValidation sqref="F61" showDropDown="0" showInputMessage="0" showErrorMessage="1" allowBlank="1" errorTitle="Invalid hours" error="Enter 0 or more." type="decimal" operator="greaterThanOrEqual">
      <formula1>0</formula1>
    </dataValidation>
    <dataValidation sqref="G61" showDropDown="0" showInputMessage="0" showErrorMessage="1" allowBlank="1" errorTitle="Invalid hours" error="Enter 0 or more." type="decimal" operator="greaterThanOrEqual">
      <formula1>0</formula1>
    </dataValidation>
    <dataValidation sqref="J61" showDropDown="0" showInputMessage="0" showErrorMessage="1" allowBlank="1" errorTitle="Invalid hours" error="Enter 0 or more." type="decimal" operator="greaterThanOrEqual">
      <formula1>0</formula1>
    </dataValidation>
    <dataValidation sqref="E62" showDropDown="0" showInputMessage="0" showErrorMessage="0" allowBlank="1" type="list">
      <formula1>=INDIRECT("WO_"&amp;$D62)</formula1>
    </dataValidation>
    <dataValidation sqref="F62" showDropDown="0" showInputMessage="0" showErrorMessage="1" allowBlank="1" errorTitle="Invalid hours" error="Enter 0 or more." type="decimal" operator="greaterThanOrEqual">
      <formula1>0</formula1>
    </dataValidation>
    <dataValidation sqref="G62" showDropDown="0" showInputMessage="0" showErrorMessage="1" allowBlank="1" errorTitle="Invalid hours" error="Enter 0 or more." type="decimal" operator="greaterThanOrEqual">
      <formula1>0</formula1>
    </dataValidation>
    <dataValidation sqref="J62" showDropDown="0" showInputMessage="0" showErrorMessage="1" allowBlank="1" errorTitle="Invalid hours" error="Enter 0 or more." type="decimal" operator="greaterThanOrEqual">
      <formula1>0</formula1>
    </dataValidation>
    <dataValidation sqref="E63" showDropDown="0" showInputMessage="0" showErrorMessage="0" allowBlank="1" type="list">
      <formula1>=INDIRECT("WO_"&amp;$D63)</formula1>
    </dataValidation>
    <dataValidation sqref="F63" showDropDown="0" showInputMessage="0" showErrorMessage="1" allowBlank="1" errorTitle="Invalid hours" error="Enter 0 or more." type="decimal" operator="greaterThanOrEqual">
      <formula1>0</formula1>
    </dataValidation>
    <dataValidation sqref="G63" showDropDown="0" showInputMessage="0" showErrorMessage="1" allowBlank="1" errorTitle="Invalid hours" error="Enter 0 or more." type="decimal" operator="greaterThanOrEqual">
      <formula1>0</formula1>
    </dataValidation>
    <dataValidation sqref="J63" showDropDown="0" showInputMessage="0" showErrorMessage="1" allowBlank="1" errorTitle="Invalid hours" error="Enter 0 or more." type="decimal" operator="greaterThanOrEqual">
      <formula1>0</formula1>
    </dataValidation>
    <dataValidation sqref="E64" showDropDown="0" showInputMessage="0" showErrorMessage="0" allowBlank="1" type="list">
      <formula1>=INDIRECT("WO_"&amp;$D64)</formula1>
    </dataValidation>
    <dataValidation sqref="F64" showDropDown="0" showInputMessage="0" showErrorMessage="1" allowBlank="1" errorTitle="Invalid hours" error="Enter 0 or more." type="decimal" operator="greaterThanOrEqual">
      <formula1>0</formula1>
    </dataValidation>
    <dataValidation sqref="G64" showDropDown="0" showInputMessage="0" showErrorMessage="1" allowBlank="1" errorTitle="Invalid hours" error="Enter 0 or more." type="decimal" operator="greaterThanOrEqual">
      <formula1>0</formula1>
    </dataValidation>
    <dataValidation sqref="J64" showDropDown="0" showInputMessage="0" showErrorMessage="1" allowBlank="1" errorTitle="Invalid hours" error="Enter 0 or more." type="decimal" operator="greaterThanOrEqual">
      <formula1>0</formula1>
    </dataValidation>
    <dataValidation sqref="E65" showDropDown="0" showInputMessage="0" showErrorMessage="0" allowBlank="1" type="list">
      <formula1>=INDIRECT("WO_"&amp;$D65)</formula1>
    </dataValidation>
    <dataValidation sqref="F65" showDropDown="0" showInputMessage="0" showErrorMessage="1" allowBlank="1" errorTitle="Invalid hours" error="Enter 0 or more." type="decimal" operator="greaterThanOrEqual">
      <formula1>0</formula1>
    </dataValidation>
    <dataValidation sqref="G65" showDropDown="0" showInputMessage="0" showErrorMessage="1" allowBlank="1" errorTitle="Invalid hours" error="Enter 0 or more." type="decimal" operator="greaterThanOrEqual">
      <formula1>0</formula1>
    </dataValidation>
    <dataValidation sqref="J65" showDropDown="0" showInputMessage="0" showErrorMessage="1" allowBlank="1" errorTitle="Invalid hours" error="Enter 0 or more." type="decimal" operator="greaterThanOrEqual">
      <formula1>0</formula1>
    </dataValidation>
    <dataValidation sqref="E66" showDropDown="0" showInputMessage="0" showErrorMessage="0" allowBlank="1" type="list">
      <formula1>=INDIRECT("WO_"&amp;$D66)</formula1>
    </dataValidation>
    <dataValidation sqref="F66" showDropDown="0" showInputMessage="0" showErrorMessage="1" allowBlank="1" errorTitle="Invalid hours" error="Enter 0 or more." type="decimal" operator="greaterThanOrEqual">
      <formula1>0</formula1>
    </dataValidation>
    <dataValidation sqref="G66" showDropDown="0" showInputMessage="0" showErrorMessage="1" allowBlank="1" errorTitle="Invalid hours" error="Enter 0 or more." type="decimal" operator="greaterThanOrEqual">
      <formula1>0</formula1>
    </dataValidation>
    <dataValidation sqref="J66" showDropDown="0" showInputMessage="0" showErrorMessage="1" allowBlank="1" errorTitle="Invalid hours" error="Enter 0 or more." type="decimal" operator="greaterThanOrEqual">
      <formula1>0</formula1>
    </dataValidation>
    <dataValidation sqref="E67" showDropDown="0" showInputMessage="0" showErrorMessage="0" allowBlank="1" type="list">
      <formula1>=INDIRECT("WO_"&amp;$D67)</formula1>
    </dataValidation>
    <dataValidation sqref="F67" showDropDown="0" showInputMessage="0" showErrorMessage="1" allowBlank="1" errorTitle="Invalid hours" error="Enter 0 or more." type="decimal" operator="greaterThanOrEqual">
      <formula1>0</formula1>
    </dataValidation>
    <dataValidation sqref="G67" showDropDown="0" showInputMessage="0" showErrorMessage="1" allowBlank="1" errorTitle="Invalid hours" error="Enter 0 or more." type="decimal" operator="greaterThanOrEqual">
      <formula1>0</formula1>
    </dataValidation>
    <dataValidation sqref="J67" showDropDown="0" showInputMessage="0" showErrorMessage="1" allowBlank="1" errorTitle="Invalid hours" error="Enter 0 or more." type="decimal" operator="greaterThanOrEqual">
      <formula1>0</formula1>
    </dataValidation>
    <dataValidation sqref="E68" showDropDown="0" showInputMessage="0" showErrorMessage="0" allowBlank="1" type="list">
      <formula1>=INDIRECT("WO_"&amp;$D68)</formula1>
    </dataValidation>
    <dataValidation sqref="F68" showDropDown="0" showInputMessage="0" showErrorMessage="1" allowBlank="1" errorTitle="Invalid hours" error="Enter 0 or more." type="decimal" operator="greaterThanOrEqual">
      <formula1>0</formula1>
    </dataValidation>
    <dataValidation sqref="G68" showDropDown="0" showInputMessage="0" showErrorMessage="1" allowBlank="1" errorTitle="Invalid hours" error="Enter 0 or more." type="decimal" operator="greaterThanOrEqual">
      <formula1>0</formula1>
    </dataValidation>
    <dataValidation sqref="J68" showDropDown="0" showInputMessage="0" showErrorMessage="1" allowBlank="1" errorTitle="Invalid hours" error="Enter 0 or more." type="decimal" operator="greaterThanOrEqual">
      <formula1>0</formula1>
    </dataValidation>
    <dataValidation sqref="E69" showDropDown="0" showInputMessage="0" showErrorMessage="0" allowBlank="1" type="list">
      <formula1>=INDIRECT("WO_"&amp;$D69)</formula1>
    </dataValidation>
    <dataValidation sqref="F69" showDropDown="0" showInputMessage="0" showErrorMessage="1" allowBlank="1" errorTitle="Invalid hours" error="Enter 0 or more." type="decimal" operator="greaterThanOrEqual">
      <formula1>0</formula1>
    </dataValidation>
    <dataValidation sqref="G69" showDropDown="0" showInputMessage="0" showErrorMessage="1" allowBlank="1" errorTitle="Invalid hours" error="Enter 0 or more." type="decimal" operator="greaterThanOrEqual">
      <formula1>0</formula1>
    </dataValidation>
    <dataValidation sqref="J69" showDropDown="0" showInputMessage="0" showErrorMessage="1" allowBlank="1" errorTitle="Invalid hours" error="Enter 0 or more." type="decimal" operator="greaterThanOrEqual">
      <formula1>0</formula1>
    </dataValidation>
    <dataValidation sqref="C71" showDropDown="0" showInputMessage="0" showErrorMessage="0" allowBlank="1" type="list">
      <formula1>=PONames</formula1>
    </dataValidation>
    <dataValidation sqref="E73" showDropDown="0" showInputMessage="0" showErrorMessage="0" allowBlank="1" type="list">
      <formula1>=INDIRECT("WO_"&amp;$D73)</formula1>
    </dataValidation>
    <dataValidation sqref="F73" showDropDown="0" showInputMessage="0" showErrorMessage="1" allowBlank="1" errorTitle="Invalid hours" error="Enter 0 or more." type="decimal" operator="greaterThanOrEqual">
      <formula1>0</formula1>
    </dataValidation>
    <dataValidation sqref="G73" showDropDown="0" showInputMessage="0" showErrorMessage="1" allowBlank="1" errorTitle="Invalid hours" error="Enter 0 or more." type="decimal" operator="greaterThanOrEqual">
      <formula1>0</formula1>
    </dataValidation>
    <dataValidation sqref="J73" showDropDown="0" showInputMessage="0" showErrorMessage="1" allowBlank="1" errorTitle="Invalid hours" error="Enter 0 or more." type="decimal" operator="greaterThanOrEqual">
      <formula1>0</formula1>
    </dataValidation>
    <dataValidation sqref="E74" showDropDown="0" showInputMessage="0" showErrorMessage="0" allowBlank="1" type="list">
      <formula1>=INDIRECT("WO_"&amp;$D74)</formula1>
    </dataValidation>
    <dataValidation sqref="F74" showDropDown="0" showInputMessage="0" showErrorMessage="1" allowBlank="1" errorTitle="Invalid hours" error="Enter 0 or more." type="decimal" operator="greaterThanOrEqual">
      <formula1>0</formula1>
    </dataValidation>
    <dataValidation sqref="G74" showDropDown="0" showInputMessage="0" showErrorMessage="1" allowBlank="1" errorTitle="Invalid hours" error="Enter 0 or more." type="decimal" operator="greaterThanOrEqual">
      <formula1>0</formula1>
    </dataValidation>
    <dataValidation sqref="J74" showDropDown="0" showInputMessage="0" showErrorMessage="1" allowBlank="1" errorTitle="Invalid hours" error="Enter 0 or more." type="decimal" operator="greaterThanOrEqual">
      <formula1>0</formula1>
    </dataValidation>
    <dataValidation sqref="E75" showDropDown="0" showInputMessage="0" showErrorMessage="0" allowBlank="1" type="list">
      <formula1>=INDIRECT("WO_"&amp;$D75)</formula1>
    </dataValidation>
    <dataValidation sqref="F75" showDropDown="0" showInputMessage="0" showErrorMessage="1" allowBlank="1" errorTitle="Invalid hours" error="Enter 0 or more." type="decimal" operator="greaterThanOrEqual">
      <formula1>0</formula1>
    </dataValidation>
    <dataValidation sqref="G75" showDropDown="0" showInputMessage="0" showErrorMessage="1" allowBlank="1" errorTitle="Invalid hours" error="Enter 0 or more." type="decimal" operator="greaterThanOrEqual">
      <formula1>0</formula1>
    </dataValidation>
    <dataValidation sqref="J75" showDropDown="0" showInputMessage="0" showErrorMessage="1" allowBlank="1" errorTitle="Invalid hours" error="Enter 0 or more." type="decimal" operator="greaterThanOrEqual">
      <formula1>0</formula1>
    </dataValidation>
    <dataValidation sqref="E76" showDropDown="0" showInputMessage="0" showErrorMessage="0" allowBlank="1" type="list">
      <formula1>=INDIRECT("WO_"&amp;$D76)</formula1>
    </dataValidation>
    <dataValidation sqref="F76" showDropDown="0" showInputMessage="0" showErrorMessage="1" allowBlank="1" errorTitle="Invalid hours" error="Enter 0 or more." type="decimal" operator="greaterThanOrEqual">
      <formula1>0</formula1>
    </dataValidation>
    <dataValidation sqref="G76" showDropDown="0" showInputMessage="0" showErrorMessage="1" allowBlank="1" errorTitle="Invalid hours" error="Enter 0 or more." type="decimal" operator="greaterThanOrEqual">
      <formula1>0</formula1>
    </dataValidation>
    <dataValidation sqref="J76" showDropDown="0" showInputMessage="0" showErrorMessage="1" allowBlank="1" errorTitle="Invalid hours" error="Enter 0 or more." type="decimal" operator="greaterThanOrEqual">
      <formula1>0</formula1>
    </dataValidation>
    <dataValidation sqref="E77" showDropDown="0" showInputMessage="0" showErrorMessage="0" allowBlank="1" type="list">
      <formula1>=INDIRECT("WO_"&amp;$D77)</formula1>
    </dataValidation>
    <dataValidation sqref="F77" showDropDown="0" showInputMessage="0" showErrorMessage="1" allowBlank="1" errorTitle="Invalid hours" error="Enter 0 or more." type="decimal" operator="greaterThanOrEqual">
      <formula1>0</formula1>
    </dataValidation>
    <dataValidation sqref="G77" showDropDown="0" showInputMessage="0" showErrorMessage="1" allowBlank="1" errorTitle="Invalid hours" error="Enter 0 or more." type="decimal" operator="greaterThanOrEqual">
      <formula1>0</formula1>
    </dataValidation>
    <dataValidation sqref="J77" showDropDown="0" showInputMessage="0" showErrorMessage="1" allowBlank="1" errorTitle="Invalid hours" error="Enter 0 or more." type="decimal" operator="greaterThanOrEqual">
      <formula1>0</formula1>
    </dataValidation>
    <dataValidation sqref="E78" showDropDown="0" showInputMessage="0" showErrorMessage="0" allowBlank="1" type="list">
      <formula1>=INDIRECT("WO_"&amp;$D78)</formula1>
    </dataValidation>
    <dataValidation sqref="F78" showDropDown="0" showInputMessage="0" showErrorMessage="1" allowBlank="1" errorTitle="Invalid hours" error="Enter 0 or more." type="decimal" operator="greaterThanOrEqual">
      <formula1>0</formula1>
    </dataValidation>
    <dataValidation sqref="G78" showDropDown="0" showInputMessage="0" showErrorMessage="1" allowBlank="1" errorTitle="Invalid hours" error="Enter 0 or more." type="decimal" operator="greaterThanOrEqual">
      <formula1>0</formula1>
    </dataValidation>
    <dataValidation sqref="J78" showDropDown="0" showInputMessage="0" showErrorMessage="1" allowBlank="1" errorTitle="Invalid hours" error="Enter 0 or more." type="decimal" operator="greaterThanOrEqual">
      <formula1>0</formula1>
    </dataValidation>
    <dataValidation sqref="E79" showDropDown="0" showInputMessage="0" showErrorMessage="0" allowBlank="1" type="list">
      <formula1>=INDIRECT("WO_"&amp;$D79)</formula1>
    </dataValidation>
    <dataValidation sqref="F79" showDropDown="0" showInputMessage="0" showErrorMessage="1" allowBlank="1" errorTitle="Invalid hours" error="Enter 0 or more." type="decimal" operator="greaterThanOrEqual">
      <formula1>0</formula1>
    </dataValidation>
    <dataValidation sqref="G79" showDropDown="0" showInputMessage="0" showErrorMessage="1" allowBlank="1" errorTitle="Invalid hours" error="Enter 0 or more." type="decimal" operator="greaterThanOrEqual">
      <formula1>0</formula1>
    </dataValidation>
    <dataValidation sqref="J79" showDropDown="0" showInputMessage="0" showErrorMessage="1" allowBlank="1" errorTitle="Invalid hours" error="Enter 0 or more." type="decimal" operator="greaterThanOrEqual">
      <formula1>0</formula1>
    </dataValidation>
    <dataValidation sqref="E80" showDropDown="0" showInputMessage="0" showErrorMessage="0" allowBlank="1" type="list">
      <formula1>=INDIRECT("WO_"&amp;$D80)</formula1>
    </dataValidation>
    <dataValidation sqref="F80" showDropDown="0" showInputMessage="0" showErrorMessage="1" allowBlank="1" errorTitle="Invalid hours" error="Enter 0 or more." type="decimal" operator="greaterThanOrEqual">
      <formula1>0</formula1>
    </dataValidation>
    <dataValidation sqref="G80" showDropDown="0" showInputMessage="0" showErrorMessage="1" allowBlank="1" errorTitle="Invalid hours" error="Enter 0 or more." type="decimal" operator="greaterThanOrEqual">
      <formula1>0</formula1>
    </dataValidation>
    <dataValidation sqref="J80" showDropDown="0" showInputMessage="0" showErrorMessage="1" allowBlank="1" errorTitle="Invalid hours" error="Enter 0 or more." type="decimal" operator="greaterThanOrEqual">
      <formula1>0</formula1>
    </dataValidation>
    <dataValidation sqref="E81" showDropDown="0" showInputMessage="0" showErrorMessage="0" allowBlank="1" type="list">
      <formula1>=INDIRECT("WO_"&amp;$D81)</formula1>
    </dataValidation>
    <dataValidation sqref="F81" showDropDown="0" showInputMessage="0" showErrorMessage="1" allowBlank="1" errorTitle="Invalid hours" error="Enter 0 or more." type="decimal" operator="greaterThanOrEqual">
      <formula1>0</formula1>
    </dataValidation>
    <dataValidation sqref="G81" showDropDown="0" showInputMessage="0" showErrorMessage="1" allowBlank="1" errorTitle="Invalid hours" error="Enter 0 or more." type="decimal" operator="greaterThanOrEqual">
      <formula1>0</formula1>
    </dataValidation>
    <dataValidation sqref="J81" showDropDown="0" showInputMessage="0" showErrorMessage="1" allowBlank="1" errorTitle="Invalid hours" error="Enter 0 or more." type="decimal" operator="greaterThanOrEqual">
      <formula1>0</formula1>
    </dataValidation>
    <dataValidation sqref="E82" showDropDown="0" showInputMessage="0" showErrorMessage="0" allowBlank="1" type="list">
      <formula1>=INDIRECT("WO_"&amp;$D82)</formula1>
    </dataValidation>
    <dataValidation sqref="F82" showDropDown="0" showInputMessage="0" showErrorMessage="1" allowBlank="1" errorTitle="Invalid hours" error="Enter 0 or more." type="decimal" operator="greaterThanOrEqual">
      <formula1>0</formula1>
    </dataValidation>
    <dataValidation sqref="G82" showDropDown="0" showInputMessage="0" showErrorMessage="1" allowBlank="1" errorTitle="Invalid hours" error="Enter 0 or more." type="decimal" operator="greaterThanOrEqual">
      <formula1>0</formula1>
    </dataValidation>
    <dataValidation sqref="J82" showDropDown="0" showInputMessage="0" showErrorMessage="1" allowBlank="1" errorTitle="Invalid hours" error="Enter 0 or more." type="decimal" operator="greaterThanOrEqual">
      <formula1>0</formula1>
    </dataValidation>
    <dataValidation sqref="C84" showDropDown="0" showInputMessage="0" showErrorMessage="0" allowBlank="1" type="list">
      <formula1>=PONames</formula1>
    </dataValidation>
    <dataValidation sqref="E86" showDropDown="0" showInputMessage="0" showErrorMessage="0" allowBlank="1" type="list">
      <formula1>=INDIRECT("WO_"&amp;$D86)</formula1>
    </dataValidation>
    <dataValidation sqref="F86" showDropDown="0" showInputMessage="0" showErrorMessage="1" allowBlank="1" errorTitle="Invalid hours" error="Enter 0 or more." type="decimal" operator="greaterThanOrEqual">
      <formula1>0</formula1>
    </dataValidation>
    <dataValidation sqref="G86" showDropDown="0" showInputMessage="0" showErrorMessage="1" allowBlank="1" errorTitle="Invalid hours" error="Enter 0 or more." type="decimal" operator="greaterThanOrEqual">
      <formula1>0</formula1>
    </dataValidation>
    <dataValidation sqref="J86" showDropDown="0" showInputMessage="0" showErrorMessage="1" allowBlank="1" errorTitle="Invalid hours" error="Enter 0 or more." type="decimal" operator="greaterThanOrEqual">
      <formula1>0</formula1>
    </dataValidation>
    <dataValidation sqref="E87" showDropDown="0" showInputMessage="0" showErrorMessage="0" allowBlank="1" type="list">
      <formula1>=INDIRECT("WO_"&amp;$D87)</formula1>
    </dataValidation>
    <dataValidation sqref="F87" showDropDown="0" showInputMessage="0" showErrorMessage="1" allowBlank="1" errorTitle="Invalid hours" error="Enter 0 or more." type="decimal" operator="greaterThanOrEqual">
      <formula1>0</formula1>
    </dataValidation>
    <dataValidation sqref="G87" showDropDown="0" showInputMessage="0" showErrorMessage="1" allowBlank="1" errorTitle="Invalid hours" error="Enter 0 or more." type="decimal" operator="greaterThanOrEqual">
      <formula1>0</formula1>
    </dataValidation>
    <dataValidation sqref="J87" showDropDown="0" showInputMessage="0" showErrorMessage="1" allowBlank="1" errorTitle="Invalid hours" error="Enter 0 or more." type="decimal" operator="greaterThanOrEqual">
      <formula1>0</formula1>
    </dataValidation>
    <dataValidation sqref="E88" showDropDown="0" showInputMessage="0" showErrorMessage="0" allowBlank="1" type="list">
      <formula1>=INDIRECT("WO_"&amp;$D88)</formula1>
    </dataValidation>
    <dataValidation sqref="F88" showDropDown="0" showInputMessage="0" showErrorMessage="1" allowBlank="1" errorTitle="Invalid hours" error="Enter 0 or more." type="decimal" operator="greaterThanOrEqual">
      <formula1>0</formula1>
    </dataValidation>
    <dataValidation sqref="G88" showDropDown="0" showInputMessage="0" showErrorMessage="1" allowBlank="1" errorTitle="Invalid hours" error="Enter 0 or more." type="decimal" operator="greaterThanOrEqual">
      <formula1>0</formula1>
    </dataValidation>
    <dataValidation sqref="J88" showDropDown="0" showInputMessage="0" showErrorMessage="1" allowBlank="1" errorTitle="Invalid hours" error="Enter 0 or more." type="decimal" operator="greaterThanOrEqual">
      <formula1>0</formula1>
    </dataValidation>
    <dataValidation sqref="E89" showDropDown="0" showInputMessage="0" showErrorMessage="0" allowBlank="1" type="list">
      <formula1>=INDIRECT("WO_"&amp;$D89)</formula1>
    </dataValidation>
    <dataValidation sqref="F89" showDropDown="0" showInputMessage="0" showErrorMessage="1" allowBlank="1" errorTitle="Invalid hours" error="Enter 0 or more." type="decimal" operator="greaterThanOrEqual">
      <formula1>0</formula1>
    </dataValidation>
    <dataValidation sqref="G89" showDropDown="0" showInputMessage="0" showErrorMessage="1" allowBlank="1" errorTitle="Invalid hours" error="Enter 0 or more." type="decimal" operator="greaterThanOrEqual">
      <formula1>0</formula1>
    </dataValidation>
    <dataValidation sqref="J89" showDropDown="0" showInputMessage="0" showErrorMessage="1" allowBlank="1" errorTitle="Invalid hours" error="Enter 0 or more." type="decimal" operator="greaterThanOrEqual">
      <formula1>0</formula1>
    </dataValidation>
    <dataValidation sqref="E90" showDropDown="0" showInputMessage="0" showErrorMessage="0" allowBlank="1" type="list">
      <formula1>=INDIRECT("WO_"&amp;$D90)</formula1>
    </dataValidation>
    <dataValidation sqref="F90" showDropDown="0" showInputMessage="0" showErrorMessage="1" allowBlank="1" errorTitle="Invalid hours" error="Enter 0 or more." type="decimal" operator="greaterThanOrEqual">
      <formula1>0</formula1>
    </dataValidation>
    <dataValidation sqref="G90" showDropDown="0" showInputMessage="0" showErrorMessage="1" allowBlank="1" errorTitle="Invalid hours" error="Enter 0 or more." type="decimal" operator="greaterThanOrEqual">
      <formula1>0</formula1>
    </dataValidation>
    <dataValidation sqref="J90" showDropDown="0" showInputMessage="0" showErrorMessage="1" allowBlank="1" errorTitle="Invalid hours" error="Enter 0 or more." type="decimal" operator="greaterThanOrEqual">
      <formula1>0</formula1>
    </dataValidation>
    <dataValidation sqref="E91" showDropDown="0" showInputMessage="0" showErrorMessage="0" allowBlank="1" type="list">
      <formula1>=INDIRECT("WO_"&amp;$D91)</formula1>
    </dataValidation>
    <dataValidation sqref="F91" showDropDown="0" showInputMessage="0" showErrorMessage="1" allowBlank="1" errorTitle="Invalid hours" error="Enter 0 or more." type="decimal" operator="greaterThanOrEqual">
      <formula1>0</formula1>
    </dataValidation>
    <dataValidation sqref="G91" showDropDown="0" showInputMessage="0" showErrorMessage="1" allowBlank="1" errorTitle="Invalid hours" error="Enter 0 or more." type="decimal" operator="greaterThanOrEqual">
      <formula1>0</formula1>
    </dataValidation>
    <dataValidation sqref="J91" showDropDown="0" showInputMessage="0" showErrorMessage="1" allowBlank="1" errorTitle="Invalid hours" error="Enter 0 or more." type="decimal" operator="greaterThanOrEqual">
      <formula1>0</formula1>
    </dataValidation>
    <dataValidation sqref="E92" showDropDown="0" showInputMessage="0" showErrorMessage="0" allowBlank="1" type="list">
      <formula1>=INDIRECT("WO_"&amp;$D92)</formula1>
    </dataValidation>
    <dataValidation sqref="F92" showDropDown="0" showInputMessage="0" showErrorMessage="1" allowBlank="1" errorTitle="Invalid hours" error="Enter 0 or more." type="decimal" operator="greaterThanOrEqual">
      <formula1>0</formula1>
    </dataValidation>
    <dataValidation sqref="G92" showDropDown="0" showInputMessage="0" showErrorMessage="1" allowBlank="1" errorTitle="Invalid hours" error="Enter 0 or more." type="decimal" operator="greaterThanOrEqual">
      <formula1>0</formula1>
    </dataValidation>
    <dataValidation sqref="J92" showDropDown="0" showInputMessage="0" showErrorMessage="1" allowBlank="1" errorTitle="Invalid hours" error="Enter 0 or more." type="decimal" operator="greaterThanOrEqual">
      <formula1>0</formula1>
    </dataValidation>
    <dataValidation sqref="E93" showDropDown="0" showInputMessage="0" showErrorMessage="0" allowBlank="1" type="list">
      <formula1>=INDIRECT("WO_"&amp;$D93)</formula1>
    </dataValidation>
    <dataValidation sqref="F93" showDropDown="0" showInputMessage="0" showErrorMessage="1" allowBlank="1" errorTitle="Invalid hours" error="Enter 0 or more." type="decimal" operator="greaterThanOrEqual">
      <formula1>0</formula1>
    </dataValidation>
    <dataValidation sqref="G93" showDropDown="0" showInputMessage="0" showErrorMessage="1" allowBlank="1" errorTitle="Invalid hours" error="Enter 0 or more." type="decimal" operator="greaterThanOrEqual">
      <formula1>0</formula1>
    </dataValidation>
    <dataValidation sqref="J93" showDropDown="0" showInputMessage="0" showErrorMessage="1" allowBlank="1" errorTitle="Invalid hours" error="Enter 0 or more." type="decimal" operator="greaterThanOrEqual">
      <formula1>0</formula1>
    </dataValidation>
    <dataValidation sqref="E94" showDropDown="0" showInputMessage="0" showErrorMessage="0" allowBlank="1" type="list">
      <formula1>=INDIRECT("WO_"&amp;$D94)</formula1>
    </dataValidation>
    <dataValidation sqref="F94" showDropDown="0" showInputMessage="0" showErrorMessage="1" allowBlank="1" errorTitle="Invalid hours" error="Enter 0 or more." type="decimal" operator="greaterThanOrEqual">
      <formula1>0</formula1>
    </dataValidation>
    <dataValidation sqref="G94" showDropDown="0" showInputMessage="0" showErrorMessage="1" allowBlank="1" errorTitle="Invalid hours" error="Enter 0 or more." type="decimal" operator="greaterThanOrEqual">
      <formula1>0</formula1>
    </dataValidation>
    <dataValidation sqref="J94" showDropDown="0" showInputMessage="0" showErrorMessage="1" allowBlank="1" errorTitle="Invalid hours" error="Enter 0 or more." type="decimal" operator="greaterThanOrEqual">
      <formula1>0</formula1>
    </dataValidation>
    <dataValidation sqref="E95" showDropDown="0" showInputMessage="0" showErrorMessage="0" allowBlank="1" type="list">
      <formula1>=INDIRECT("WO_"&amp;$D95)</formula1>
    </dataValidation>
    <dataValidation sqref="F95" showDropDown="0" showInputMessage="0" showErrorMessage="1" allowBlank="1" errorTitle="Invalid hours" error="Enter 0 or more." type="decimal" operator="greaterThanOrEqual">
      <formula1>0</formula1>
    </dataValidation>
    <dataValidation sqref="G95" showDropDown="0" showInputMessage="0" showErrorMessage="1" allowBlank="1" errorTitle="Invalid hours" error="Enter 0 or more." type="decimal" operator="greaterThanOrEqual">
      <formula1>0</formula1>
    </dataValidation>
    <dataValidation sqref="J95" showDropDown="0" showInputMessage="0" showErrorMessage="1" allowBlank="1" errorTitle="Invalid hours" error="Enter 0 or more." type="decimal" operator="greaterThanOrEqual">
      <formula1>0</formula1>
    </dataValidation>
    <dataValidation sqref="B21:B30 B34:B43 B47:B56 B60:B69 B73:B82 B86:B95" showDropDown="0" showInputMessage="0" showErrorMessage="0" allowBlank="1" type="list">
      <formula1>=EmpNames</formula1>
    </dataValidation>
    <dataValidation sqref="C21:C30 C34:C43 C47:C56 C60:C69 C73:C82 C86:C95" showDropDown="0" showInputMessage="0" showErrorMessage="0" allowBlank="1" type="list">
      <formula1>=TradeNames</formula1>
    </dataValidation>
    <dataValidation sqref="D21:D30 D34:D43 D47:D56 D60:D69 D73:D82 D86:D95" showDropDown="0" showInputMessage="0" showErrorMessage="0" allowBlank="1" type="list">
      <formula1>=WONames</formula1>
    </dataValidation>
    <dataValidation sqref="I21:I30 I34:I43 I47:I56 I60:I69 I73:I82 I86:I95" showDropDown="0" showInputMessage="0" showErrorMessage="0" allowBlank="1" type="list">
      <formula1>=LocList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2" customWidth="1" min="5" max="5"/>
    <col width="12" customWidth="1" min="6" max="6"/>
    <col width="28" customWidth="1" min="7" max="7"/>
    <col width="34" customWidth="1" min="9" max="9"/>
    <col width="54" customWidth="1" min="11" max="11"/>
    <col width="10" customWidth="1" min="13" max="13"/>
    <col width="16" customWidth="1" min="14" max="14"/>
  </cols>
  <sheetData>
    <row r="1" ht="20" customHeight="1">
      <c r="A1" s="5" t="inlineStr">
        <is>
          <t>VENDORS</t>
        </is>
      </c>
      <c r="E1" s="5" t="inlineStr">
        <is>
          <t>EMPLOYEES</t>
        </is>
      </c>
      <c r="I1" s="5" t="inlineStr">
        <is>
          <t>TRADES  (SAP code - name)</t>
        </is>
      </c>
      <c r="K1" s="5" t="inlineStr">
        <is>
          <t>PO / JOB</t>
        </is>
      </c>
      <c r="M1" s="5" t="inlineStr">
        <is>
          <t>PICK LISTS</t>
        </is>
      </c>
    </row>
    <row r="2">
      <c r="A2" s="13" t="inlineStr">
        <is>
          <t>Vendor Name</t>
        </is>
      </c>
      <c r="B2" s="13" t="inlineStr">
        <is>
          <t>Vendor ID</t>
        </is>
      </c>
      <c r="C2" s="13" t="inlineStr">
        <is>
          <t>Vendor (Name - ID)</t>
        </is>
      </c>
      <c r="E2" s="13" t="inlineStr">
        <is>
          <t>Employee Name</t>
        </is>
      </c>
      <c r="F2" s="13" t="inlineStr">
        <is>
          <t>Vendor</t>
        </is>
      </c>
      <c r="G2" s="13" t="inlineStr">
        <is>
          <t>Default Trade</t>
        </is>
      </c>
      <c r="M2" s="13" t="inlineStr">
        <is>
          <t>Shift</t>
        </is>
      </c>
      <c r="N2" s="13" t="inlineStr">
        <is>
          <t>Work Location</t>
        </is>
      </c>
    </row>
    <row r="3">
      <c r="A3" s="30" t="inlineStr">
        <is>
          <t>Wolverine</t>
        </is>
      </c>
      <c r="B3" s="30" t="inlineStr">
        <is>
          <t>01</t>
        </is>
      </c>
      <c r="C3" s="30" t="inlineStr">
        <is>
          <t>Wolverine - 01</t>
        </is>
      </c>
      <c r="E3" s="30" t="inlineStr">
        <is>
          <t>Alton, Doug</t>
        </is>
      </c>
      <c r="I3" s="30" t="inlineStr">
        <is>
          <t>11101005-PM/Superintendent</t>
        </is>
      </c>
      <c r="K3" s="30" t="inlineStr">
        <is>
          <t>01-25-169 - CF - 2026TA - Pre-TA</t>
        </is>
      </c>
      <c r="M3" s="30" t="inlineStr">
        <is>
          <t>1 - Day</t>
        </is>
      </c>
      <c r="N3" s="30" t="inlineStr">
        <is>
          <t>1 - Shop Floor</t>
        </is>
      </c>
    </row>
    <row r="4">
      <c r="A4" s="30" t="inlineStr">
        <is>
          <t>B&amp;D</t>
        </is>
      </c>
      <c r="B4" s="30" t="inlineStr">
        <is>
          <t>02</t>
        </is>
      </c>
      <c r="C4" s="30" t="inlineStr">
        <is>
          <t>B&amp;D - 02</t>
        </is>
      </c>
      <c r="E4" s="30" t="inlineStr">
        <is>
          <t>Chamberlain, Evan</t>
        </is>
      </c>
      <c r="I4" s="30" t="inlineStr">
        <is>
          <t>12100027-Operating Engineer Journeyman</t>
        </is>
      </c>
      <c r="K4" s="30" t="inlineStr">
        <is>
          <t>01-26-037 - CF - Project Controls Prior to TA</t>
        </is>
      </c>
      <c r="M4" s="30" t="inlineStr">
        <is>
          <t>2 - Night</t>
        </is>
      </c>
      <c r="N4" s="30" t="inlineStr">
        <is>
          <t>2 - Office</t>
        </is>
      </c>
    </row>
    <row r="5">
      <c r="A5" s="30" t="inlineStr">
        <is>
          <t>Safeway</t>
        </is>
      </c>
      <c r="B5" s="30" t="inlineStr">
        <is>
          <t>03</t>
        </is>
      </c>
      <c r="C5" s="30" t="inlineStr">
        <is>
          <t>Safeway - 03</t>
        </is>
      </c>
      <c r="E5" s="30" t="inlineStr">
        <is>
          <t>Croft, Madison</t>
        </is>
      </c>
      <c r="I5" s="30" t="inlineStr">
        <is>
          <t>12104005-Pipefitter Journeyman</t>
        </is>
      </c>
      <c r="K5" s="30" t="inlineStr">
        <is>
          <t>01-26-038 - CF - Planning Support (01-25-217) - Ray Klassen</t>
        </is>
      </c>
      <c r="N5" s="30" t="inlineStr">
        <is>
          <t>3 - Field</t>
        </is>
      </c>
    </row>
    <row r="6">
      <c r="E6" s="30" t="inlineStr">
        <is>
          <t>DeCiantis, Lu</t>
        </is>
      </c>
      <c r="I6" s="30" t="inlineStr">
        <is>
          <t>12104009-Construction Coordinator</t>
        </is>
      </c>
      <c r="K6" s="30" t="inlineStr">
        <is>
          <t>01-26-193 - CF - Wolverine Admin TA Support</t>
        </is>
      </c>
    </row>
    <row r="7">
      <c r="E7" s="30" t="inlineStr">
        <is>
          <t>Jamer, Douglas</t>
        </is>
      </c>
      <c r="I7" s="30" t="inlineStr">
        <is>
          <t>12104010-Pipefitter Welder</t>
        </is>
      </c>
      <c r="K7" s="30" t="inlineStr">
        <is>
          <t>01-26-200 - CF - QA/QC Planner for fall TA</t>
        </is>
      </c>
    </row>
    <row r="8">
      <c r="E8" s="30" t="inlineStr">
        <is>
          <t>Joshi, Nitin</t>
        </is>
      </c>
      <c r="I8" s="30" t="inlineStr">
        <is>
          <t>12105015-Pipefitter Foreman</t>
        </is>
      </c>
      <c r="K8" s="30" t="inlineStr">
        <is>
          <t>01-26-500 - CF - TA - A2 C110 Blowdown Line - 3 Work Orders Combined</t>
        </is>
      </c>
    </row>
    <row r="9">
      <c r="E9" s="30" t="inlineStr">
        <is>
          <t>Kennedy, Michael</t>
        </is>
      </c>
      <c r="I9" s="30" t="inlineStr">
        <is>
          <t>13100002-E H &amp; S Manager</t>
        </is>
      </c>
      <c r="K9" s="30" t="inlineStr">
        <is>
          <t>01-26-502 - CF - TA-A2-PP-004 C405B RIK Corroded Pipe - 40012593</t>
        </is>
      </c>
    </row>
    <row r="10">
      <c r="E10" s="30" t="inlineStr">
        <is>
          <t>Klassen, Raymond</t>
        </is>
      </c>
      <c r="I10" s="30" t="inlineStr">
        <is>
          <t>13100008-Operating Engineer Foreman</t>
        </is>
      </c>
      <c r="K10" s="30" t="inlineStr">
        <is>
          <t>01-26-503 - CF - TA-A2-PP-003 L301B RIK Corroded Nipple - 40012011</t>
        </is>
      </c>
    </row>
    <row r="11">
      <c r="E11" s="30" t="inlineStr">
        <is>
          <t>Martindale, Hillary</t>
        </is>
      </c>
      <c r="I11" s="30" t="inlineStr">
        <is>
          <t>13100009-Procurement Specialist</t>
        </is>
      </c>
      <c r="K11" s="30" t="inlineStr">
        <is>
          <t>01-26-504 - CF - TA-A2-PP-005 PSV2901 RIK Corroded Pipe - 40012609</t>
        </is>
      </c>
    </row>
    <row r="12">
      <c r="E12" s="30" t="inlineStr">
        <is>
          <t>McDonald, Kyle</t>
        </is>
      </c>
      <c r="I12" s="30" t="inlineStr">
        <is>
          <t>13101001-Planner</t>
        </is>
      </c>
      <c r="K12" s="30" t="inlineStr">
        <is>
          <t>01-26-505 - CF - TA-A2-PP-006 RIK SW Pipe in Rack at D301- 40012654</t>
        </is>
      </c>
    </row>
    <row r="13">
      <c r="E13" s="30" t="inlineStr">
        <is>
          <t>McGuire, Samantha</t>
        </is>
      </c>
      <c r="I13" s="30" t="inlineStr">
        <is>
          <t>13101002-Scheduler</t>
        </is>
      </c>
      <c r="K13" s="30" t="inlineStr">
        <is>
          <t>01-26-506 - CF - TA-A2-PP-008 8PV1752 RIK Upstream BW Valve - 60009389</t>
        </is>
      </c>
    </row>
    <row r="14">
      <c r="E14" s="30" t="inlineStr">
        <is>
          <t>Moore, Ryan</t>
        </is>
      </c>
      <c r="I14" s="30" t="inlineStr">
        <is>
          <t>13101005-Project Management &amp; Estimating</t>
        </is>
      </c>
      <c r="K14" s="30" t="inlineStr">
        <is>
          <t>01-26-512 - CF - TA-OLLR-A2-PP-021 TV1064 Remove Encl - 60010064</t>
        </is>
      </c>
    </row>
    <row r="15">
      <c r="E15" s="30" t="inlineStr">
        <is>
          <t>Paquette, David</t>
        </is>
      </c>
      <c r="I15" s="30" t="inlineStr">
        <is>
          <t>13106050-Time Keeper</t>
        </is>
      </c>
      <c r="K15" s="30" t="inlineStr">
        <is>
          <t>01-26-513 - TA-OLLR-A2-PP-024 8PV3095 Replace Block Vlv- 60010420</t>
        </is>
      </c>
    </row>
    <row r="16">
      <c r="E16" s="30" t="inlineStr">
        <is>
          <t>Powers, Dave</t>
        </is>
      </c>
      <c r="I16" s="30" t="inlineStr">
        <is>
          <t>13108000-QAQC Advisor</t>
        </is>
      </c>
      <c r="K16" s="30" t="inlineStr">
        <is>
          <t>01-26-514 - CF - TA-OLLR-A2-PP-027 HV1623 Remove Encl - 60010738</t>
        </is>
      </c>
    </row>
    <row r="17">
      <c r="E17" s="30" t="inlineStr">
        <is>
          <t>Schouten, Casey</t>
        </is>
      </c>
      <c r="K17" s="30" t="inlineStr">
        <is>
          <t>01-26-515 - CF - TA-A2-PP-007 LT5347 F501 RIK Corroded Nipple - 40012731</t>
        </is>
      </c>
    </row>
    <row r="18">
      <c r="E18" s="30" t="inlineStr">
        <is>
          <t>Toms, Kevin</t>
        </is>
      </c>
      <c r="K18" s="30" t="inlineStr">
        <is>
          <t>01-26-516 - CF - TA-A2-PP-018 F401 Replace VLVs to F501 - 60009798</t>
        </is>
      </c>
    </row>
    <row r="19">
      <c r="E19" s="30" t="inlineStr">
        <is>
          <t>Valiquette, Mark</t>
        </is>
      </c>
      <c r="K19" s="30" t="inlineStr">
        <is>
          <t>01-26-517 - CF - TA-A2-PP-031 HV1072 Replace Drain Vlvs - 60015209</t>
        </is>
      </c>
    </row>
    <row r="20">
      <c r="E20" s="30" t="inlineStr">
        <is>
          <t>Wiles, Tim</t>
        </is>
      </c>
      <c r="K20" s="30" t="inlineStr">
        <is>
          <t>01-26-518 - CF - TA-OLLR-A2-PP-014 LV5178 Remove Encl - 60009691</t>
        </is>
      </c>
    </row>
    <row r="21">
      <c r="E21" s="30" t="inlineStr">
        <is>
          <t>Wilson, Justin</t>
        </is>
      </c>
      <c r="K21" s="30" t="inlineStr">
        <is>
          <t>01-26-519 - CF - TA-OLLR-A2-PP-016 TV1068 Remove Encl - 60009696</t>
        </is>
      </c>
    </row>
    <row r="22">
      <c r="E22" s="30" t="inlineStr">
        <is>
          <t>Woudenberg, Rick</t>
        </is>
      </c>
      <c r="K22" s="30" t="inlineStr">
        <is>
          <t>01-26-520 - CF - TA-OLLR-A2-PP-022 C115 Remove Enclosure - 60010066</t>
        </is>
      </c>
    </row>
    <row r="23">
      <c r="E23" s="30" t="inlineStr">
        <is>
          <t>Woudenberg, Tanner</t>
        </is>
      </c>
      <c r="K23" s="30" t="inlineStr">
        <is>
          <t>01-26-522 - CF - TA-A2-PP-032 ROB5528 Replace Drain Vlvs - 60015210</t>
        </is>
      </c>
    </row>
    <row r="24">
      <c r="K24" s="30" t="inlineStr">
        <is>
          <t>01-26-523 - CF - TA-OLLR-A2-PP-030 8FV4140 Byps Drain Vlv - 60015207</t>
        </is>
      </c>
    </row>
    <row r="25">
      <c r="K25" s="30" t="inlineStr">
        <is>
          <t>01-26-524 - CF - TA-OLLR-A2-PP-033 L501 Repair Steam Trap - 60015223</t>
        </is>
      </c>
    </row>
    <row r="26">
      <c r="K26" s="30" t="inlineStr">
        <is>
          <t>01-26-525 - CF - TA-A2-PP-034 B102 Repair BFW Pipe - 60015256</t>
        </is>
      </c>
    </row>
    <row r="27">
      <c r="K27" s="30" t="inlineStr">
        <is>
          <t>01-26-526 - CF - TA-A2-PP-040 G404 LGs Install Caps - 60010048</t>
        </is>
      </c>
    </row>
    <row r="28">
      <c r="K28" s="30" t="inlineStr">
        <is>
          <t>01-26-527 - CF - TA-A2-PP-041 D301 Outlet Bleed Valve - 60043511</t>
        </is>
      </c>
    </row>
    <row r="29">
      <c r="K29" s="30" t="inlineStr">
        <is>
          <t>01-26-528 - CF - TA-A2-PP-042 FV4144 Drain Valves - 60043512</t>
        </is>
      </c>
    </row>
    <row r="30">
      <c r="K30" s="30" t="inlineStr">
        <is>
          <t>01-26-529 - CF - TA-OLLR-A2-PP-010 200# Steam Remove Encl - 60009556</t>
        </is>
      </c>
    </row>
    <row r="31">
      <c r="K31" s="30" t="inlineStr">
        <is>
          <t>01-26-530 - CF - TA-OLLR-A2-PP-043 - C501 Perm Piping Repair</t>
        </is>
      </c>
    </row>
    <row r="32">
      <c r="K32" s="30" t="inlineStr">
        <is>
          <t>01-26-531 - CF - TA-A2-PP-036 J101-7AB Replace Equal Vlv - 60010915</t>
        </is>
      </c>
    </row>
    <row r="33">
      <c r="K33" s="30" t="inlineStr">
        <is>
          <t>01-26-532 - CF - TA-A2-PP-044 E24-118 Decommission UG CO2 Line</t>
        </is>
      </c>
    </row>
    <row r="34">
      <c r="K34" s="30" t="inlineStr">
        <is>
          <t>01-26-533 - CF - TA-A2-PP-045 E24-213 J101 Eliminate Low Point - 20000606</t>
        </is>
      </c>
    </row>
    <row r="35">
      <c r="K35" s="30" t="inlineStr">
        <is>
          <t>01-26-800 - CF - TA-UR-PP-004 E121 Replace Drain Valve - 60009998</t>
        </is>
      </c>
    </row>
    <row r="36">
      <c r="K36" s="30" t="inlineStr">
        <is>
          <t>01-26-803 - CF - TA-UR-PP-005 P117B Xmas Tree Drain Vlv - 60010150</t>
        </is>
      </c>
    </row>
    <row r="37">
      <c r="K37" s="30" t="inlineStr">
        <is>
          <t>01-26-805 - CF - TA-TMOC-UR-PP-012 4PCV895 Outlet PI - 20000745</t>
        </is>
      </c>
    </row>
    <row r="38">
      <c r="K38" s="30" t="inlineStr">
        <is>
          <t>01-26-808 - CA - TA-UR-PP-020 4LV4421 LPD Steam Valve - 60043519</t>
        </is>
      </c>
    </row>
    <row r="39">
      <c r="K39" s="30" t="inlineStr">
        <is>
          <t>01-26-809 - CA - TA-UR-PP-021 4LV4441 Steam Out Valve - 60043540</t>
        </is>
      </c>
    </row>
    <row r="40"/>
    <row r="41"/>
  </sheetData>
  <mergeCells count="5">
    <mergeCell ref="I1"/>
    <mergeCell ref="A1:C1"/>
    <mergeCell ref="K1"/>
    <mergeCell ref="M1:N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5" t="inlineStr">
        <is>
          <t>WORK ORDERS  (WO ID -&gt; Name)</t>
        </is>
      </c>
    </row>
    <row r="2">
      <c r="A2" s="13" t="inlineStr">
        <is>
          <t>WO ID</t>
        </is>
      </c>
      <c r="B2" s="13" t="inlineStr">
        <is>
          <t>WO Name</t>
        </is>
      </c>
    </row>
    <row r="3">
      <c r="A3" s="30" t="inlineStr">
        <is>
          <t>20000563</t>
        </is>
      </c>
      <c r="B3" s="30" t="inlineStr">
        <is>
          <t>TA-UR-PP-023 E24-120 E104-105 Steam Cond</t>
        </is>
      </c>
    </row>
    <row r="4">
      <c r="A4" s="30" t="inlineStr">
        <is>
          <t>40011104</t>
        </is>
      </c>
      <c r="B4" s="30" t="inlineStr">
        <is>
          <t>TA-4TV4522-Overhaul</t>
        </is>
      </c>
    </row>
    <row r="5">
      <c r="A5" s="30" t="inlineStr">
        <is>
          <t>40011112</t>
        </is>
      </c>
      <c r="B5" s="30" t="inlineStr">
        <is>
          <t>TA-4XV4527-Overhaul</t>
        </is>
      </c>
    </row>
    <row r="6">
      <c r="A6" s="30" t="inlineStr">
        <is>
          <t>40011116</t>
        </is>
      </c>
      <c r="B6" s="30" t="inlineStr">
        <is>
          <t>TA-4XV4556-Overhaul</t>
        </is>
      </c>
    </row>
    <row r="7">
      <c r="A7" s="30" t="inlineStr">
        <is>
          <t>40011117</t>
        </is>
      </c>
      <c r="B7" s="30" t="inlineStr">
        <is>
          <t>TA-4XV4558-Overhaul</t>
        </is>
      </c>
    </row>
    <row r="8">
      <c r="A8" s="30" t="inlineStr">
        <is>
          <t>40011123</t>
        </is>
      </c>
      <c r="B8" s="30" t="inlineStr">
        <is>
          <t>TA-4XV4585-Overhaul</t>
        </is>
      </c>
    </row>
    <row r="9">
      <c r="A9" s="30" t="inlineStr">
        <is>
          <t>40011128</t>
        </is>
      </c>
      <c r="B9" s="30" t="inlineStr">
        <is>
          <t>TA-4PV4462-Overhaul</t>
        </is>
      </c>
    </row>
    <row r="10">
      <c r="A10" s="30" t="inlineStr">
        <is>
          <t>40011133</t>
        </is>
      </c>
      <c r="B10" s="30" t="inlineStr">
        <is>
          <t>TA-4PV5440-Overhaul</t>
        </is>
      </c>
    </row>
    <row r="11">
      <c r="A11" s="30" t="inlineStr">
        <is>
          <t>40011136</t>
        </is>
      </c>
      <c r="B11" s="30" t="inlineStr">
        <is>
          <t>TA-4HV5462-Overhaul</t>
        </is>
      </c>
    </row>
    <row r="12">
      <c r="A12" s="30" t="inlineStr">
        <is>
          <t>40011137</t>
        </is>
      </c>
      <c r="B12" s="30" t="inlineStr">
        <is>
          <t>TA-4PV5520-Overhaul</t>
        </is>
      </c>
    </row>
    <row r="13">
      <c r="A13" s="30" t="inlineStr">
        <is>
          <t>40011141</t>
        </is>
      </c>
      <c r="B13" s="30" t="inlineStr">
        <is>
          <t>TA-4PV5521-Overhaul</t>
        </is>
      </c>
    </row>
    <row r="14">
      <c r="A14" s="30" t="inlineStr">
        <is>
          <t>40011143</t>
        </is>
      </c>
      <c r="B14" s="30" t="inlineStr">
        <is>
          <t>TA-4HV5624-Overhaul</t>
        </is>
      </c>
    </row>
    <row r="15">
      <c r="A15" s="30" t="inlineStr">
        <is>
          <t>40011148</t>
        </is>
      </c>
      <c r="B15" s="30" t="inlineStr">
        <is>
          <t>TA 2026 Site Electrical Utilities PM</t>
        </is>
      </c>
    </row>
    <row r="16">
      <c r="A16" s="30" t="inlineStr">
        <is>
          <t>40011180</t>
        </is>
      </c>
      <c r="B16" s="30" t="inlineStr">
        <is>
          <t>TA–2PSV2838–Overhaul</t>
        </is>
      </c>
    </row>
    <row r="17">
      <c r="A17" s="30" t="inlineStr">
        <is>
          <t>40011187</t>
        </is>
      </c>
      <c r="B17" s="30" t="inlineStr">
        <is>
          <t>TA–8PSV1753–Overhaul</t>
        </is>
      </c>
    </row>
    <row r="18">
      <c r="A18" s="30" t="inlineStr">
        <is>
          <t>40011193</t>
        </is>
      </c>
      <c r="B18" s="30" t="inlineStr">
        <is>
          <t>TA–8PSV1901–Overhaul</t>
        </is>
      </c>
    </row>
    <row r="19">
      <c r="A19" s="30" t="inlineStr">
        <is>
          <t>40011195</t>
        </is>
      </c>
      <c r="B19" s="30" t="inlineStr">
        <is>
          <t>TA–8PSV1902–Overhaul</t>
        </is>
      </c>
    </row>
    <row r="20">
      <c r="A20" s="30" t="inlineStr">
        <is>
          <t>40011204</t>
        </is>
      </c>
      <c r="B20" s="30" t="inlineStr">
        <is>
          <t>TA–2PSV2438–Overhaul</t>
        </is>
      </c>
    </row>
    <row r="21">
      <c r="A21" s="30" t="inlineStr">
        <is>
          <t>40011212</t>
        </is>
      </c>
      <c r="B21" s="30" t="inlineStr">
        <is>
          <t>TA–2PSV2417–Overhaul</t>
        </is>
      </c>
    </row>
    <row r="22">
      <c r="A22" s="30" t="inlineStr">
        <is>
          <t>40011214</t>
        </is>
      </c>
      <c r="B22" s="30" t="inlineStr">
        <is>
          <t>TA–2PSV2416–Overhaul</t>
        </is>
      </c>
    </row>
    <row r="23">
      <c r="A23" s="30" t="inlineStr">
        <is>
          <t>40011221</t>
        </is>
      </c>
      <c r="B23" s="30" t="inlineStr">
        <is>
          <t>TA–4PSV90–Overhaul</t>
        </is>
      </c>
    </row>
    <row r="24">
      <c r="A24" s="30" t="inlineStr">
        <is>
          <t>40011275</t>
        </is>
      </c>
      <c r="B24" s="30" t="inlineStr">
        <is>
          <t>TA-F703-Inspection-Repair</t>
        </is>
      </c>
    </row>
    <row r="25">
      <c r="A25" s="30" t="inlineStr">
        <is>
          <t>40011340</t>
        </is>
      </c>
      <c r="B25" s="30" t="inlineStr">
        <is>
          <t>TA-F620-Inspection-Regulatory</t>
        </is>
      </c>
    </row>
    <row r="26">
      <c r="A26" s="30" t="inlineStr">
        <is>
          <t>40011687</t>
        </is>
      </c>
      <c r="B26" s="30" t="inlineStr">
        <is>
          <t>TA-D120U-Inspection-Regulatory</t>
        </is>
      </c>
    </row>
    <row r="27">
      <c r="A27" s="30" t="inlineStr">
        <is>
          <t>40011725</t>
        </is>
      </c>
      <c r="B27" s="30" t="inlineStr">
        <is>
          <t>TA-D301U-Inspection-Regulatory</t>
        </is>
      </c>
    </row>
    <row r="28">
      <c r="A28" s="30" t="inlineStr">
        <is>
          <t>40012304</t>
        </is>
      </c>
      <c r="B28" s="30" t="inlineStr">
        <is>
          <t>TA-G101-Inspection-Regulatory</t>
        </is>
      </c>
    </row>
    <row r="29">
      <c r="A29" s="30" t="inlineStr">
        <is>
          <t>40012416</t>
        </is>
      </c>
      <c r="B29" s="30" t="inlineStr">
        <is>
          <t>TA-C104-Inspection-Clean-Regulatory</t>
        </is>
      </c>
    </row>
    <row r="30">
      <c r="A30" s="30" t="inlineStr">
        <is>
          <t>40012452</t>
        </is>
      </c>
      <c r="B30" s="30" t="inlineStr">
        <is>
          <t>TA-C201-Insp-Clean-Regulatory</t>
        </is>
      </c>
    </row>
    <row r="31">
      <c r="A31" s="30" t="inlineStr">
        <is>
          <t>40012698</t>
        </is>
      </c>
      <c r="B31" s="30" t="inlineStr">
        <is>
          <t>TA-D103-Inspection-Catalyst-Regulatory</t>
        </is>
      </c>
    </row>
    <row r="32">
      <c r="A32" s="30" t="inlineStr">
        <is>
          <t>40012709</t>
        </is>
      </c>
      <c r="B32" s="30" t="inlineStr">
        <is>
          <t>TA-F101-Inspection-Regulatory</t>
        </is>
      </c>
    </row>
    <row r="33">
      <c r="A33" s="30" t="inlineStr">
        <is>
          <t>40012745</t>
        </is>
      </c>
      <c r="B33" s="30" t="inlineStr">
        <is>
          <t>TA-JT101-Major</t>
        </is>
      </c>
    </row>
    <row r="34">
      <c r="A34" s="30" t="inlineStr">
        <is>
          <t>40012841</t>
        </is>
      </c>
      <c r="B34" s="30" t="inlineStr">
        <is>
          <t>TA-12G406B-Inspection Non-jurisdictional</t>
        </is>
      </c>
    </row>
    <row r="35">
      <c r="A35" s="30" t="inlineStr">
        <is>
          <t>40012858</t>
        </is>
      </c>
      <c r="B35" s="30" t="inlineStr">
        <is>
          <t>TA -C601-Inspection-Clean-Regulatory</t>
        </is>
      </c>
    </row>
    <row r="36">
      <c r="A36" s="30" t="inlineStr">
        <is>
          <t>60009672</t>
        </is>
      </c>
      <c r="B36" s="30" t="inlineStr">
        <is>
          <t>TA-A2-PP-048 2BFW1085 Adjust Pipe</t>
        </is>
      </c>
    </row>
    <row r="37">
      <c r="A37" s="30" t="inlineStr">
        <is>
          <t>60009689</t>
        </is>
      </c>
      <c r="B37" s="30" t="inlineStr">
        <is>
          <t>TA-OLLR-A2-VLV-016 XV5232 Remove Encl</t>
        </is>
      </c>
    </row>
    <row r="38">
      <c r="A38" s="30" t="inlineStr">
        <is>
          <t>60009975</t>
        </is>
      </c>
      <c r="B38" s="30" t="inlineStr">
        <is>
          <t>TA-UR-PP-014 T101 Underground CW Pipe</t>
        </is>
      </c>
    </row>
    <row r="39">
      <c r="A39" s="30" t="inlineStr">
        <is>
          <t>60010151</t>
        </is>
      </c>
      <c r="B39" s="30" t="inlineStr">
        <is>
          <t>TA-UR-PP-006 C1 O2 Analyzer Remove Pipe</t>
        </is>
      </c>
    </row>
    <row r="40">
      <c r="A40" s="30" t="inlineStr">
        <is>
          <t>60010684</t>
        </is>
      </c>
      <c r="B40" s="30" t="inlineStr">
        <is>
          <t>TA-UR-PP-018 D30 Overflow Pipe Leak</t>
        </is>
      </c>
    </row>
    <row r="41">
      <c r="A41" s="30" t="inlineStr">
        <is>
          <t>60010769</t>
        </is>
      </c>
      <c r="B41" s="30" t="inlineStr">
        <is>
          <t>TA-UR-VLV-013 E105 Replace Condensate Vl</t>
        </is>
      </c>
    </row>
    <row r="42">
      <c r="A42" s="30" t="inlineStr">
        <is>
          <t>60015208</t>
        </is>
      </c>
      <c r="B42" s="30" t="inlineStr">
        <is>
          <t>TA-D102-Open for Catalyst Change- Inspec</t>
        </is>
      </c>
    </row>
    <row r="43">
      <c r="A43" s="30" t="inlineStr">
        <is>
          <t>60041037</t>
        </is>
      </c>
      <c r="B43" s="30" t="inlineStr">
        <is>
          <t>TA-A2-PP-025 C110 Replace Blowdown Line</t>
        </is>
      </c>
    </row>
    <row r="44">
      <c r="A44" s="30" t="inlineStr">
        <is>
          <t>60043945</t>
        </is>
      </c>
      <c r="B44" s="30" t="inlineStr">
        <is>
          <t>TA 2026 - AM Overhead (Scaffold)</t>
        </is>
      </c>
    </row>
    <row r="45">
      <c r="A45" s="30" t="inlineStr">
        <is>
          <t>60043985</t>
        </is>
      </c>
      <c r="B45" s="30" t="inlineStr">
        <is>
          <t>TA 2026 - UR Overhead (Scaffold)</t>
        </is>
      </c>
    </row>
    <row r="46">
      <c r="A46" s="30" t="inlineStr">
        <is>
          <t>60043993</t>
        </is>
      </c>
      <c r="B46" s="30" t="inlineStr">
        <is>
          <t>TA 2026 - NA Overhead (Scaffold)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15"/>
  <sheetViews>
    <sheetView showGridLines="0" workbookViewId="0">
      <selection activeCell="A1" sqref="A1"/>
    </sheetView>
  </sheetViews>
  <sheetFormatPr baseColWidth="8" defaultRowHeight="15"/>
  <sheetData>
    <row r="1">
      <c r="A1" s="31" t="inlineStr">
        <is>
          <t>20000563</t>
        </is>
      </c>
      <c r="B1" s="31" t="inlineStr">
        <is>
          <t>40011104</t>
        </is>
      </c>
      <c r="C1" s="31" t="inlineStr">
        <is>
          <t>40011112</t>
        </is>
      </c>
      <c r="D1" s="31" t="inlineStr">
        <is>
          <t>40011116</t>
        </is>
      </c>
      <c r="E1" s="31" t="inlineStr">
        <is>
          <t>40011117</t>
        </is>
      </c>
      <c r="F1" s="31" t="inlineStr">
        <is>
          <t>40011123</t>
        </is>
      </c>
      <c r="G1" s="31" t="inlineStr">
        <is>
          <t>40011128</t>
        </is>
      </c>
      <c r="H1" s="31" t="inlineStr">
        <is>
          <t>40011133</t>
        </is>
      </c>
      <c r="I1" s="31" t="inlineStr">
        <is>
          <t>40011136</t>
        </is>
      </c>
      <c r="J1" s="31" t="inlineStr">
        <is>
          <t>40011137</t>
        </is>
      </c>
      <c r="K1" s="31" t="inlineStr">
        <is>
          <t>40011141</t>
        </is>
      </c>
      <c r="L1" s="31" t="inlineStr">
        <is>
          <t>40011143</t>
        </is>
      </c>
      <c r="M1" s="31" t="inlineStr">
        <is>
          <t>40011148</t>
        </is>
      </c>
      <c r="N1" s="31" t="inlineStr">
        <is>
          <t>40011180</t>
        </is>
      </c>
      <c r="O1" s="31" t="inlineStr">
        <is>
          <t>40011187</t>
        </is>
      </c>
      <c r="P1" s="31" t="inlineStr">
        <is>
          <t>40011193</t>
        </is>
      </c>
      <c r="Q1" s="31" t="inlineStr">
        <is>
          <t>40011195</t>
        </is>
      </c>
      <c r="R1" s="31" t="inlineStr">
        <is>
          <t>40011204</t>
        </is>
      </c>
      <c r="S1" s="31" t="inlineStr">
        <is>
          <t>40011212</t>
        </is>
      </c>
      <c r="T1" s="31" t="inlineStr">
        <is>
          <t>40011214</t>
        </is>
      </c>
      <c r="U1" s="31" t="inlineStr">
        <is>
          <t>40011221</t>
        </is>
      </c>
      <c r="V1" s="31" t="inlineStr">
        <is>
          <t>40011275</t>
        </is>
      </c>
      <c r="W1" s="31" t="inlineStr">
        <is>
          <t>40011340</t>
        </is>
      </c>
      <c r="X1" s="31" t="inlineStr">
        <is>
          <t>40011687</t>
        </is>
      </c>
      <c r="Y1" s="31" t="inlineStr">
        <is>
          <t>40011725</t>
        </is>
      </c>
      <c r="Z1" s="31" t="inlineStr">
        <is>
          <t>40012304</t>
        </is>
      </c>
      <c r="AA1" s="31" t="inlineStr">
        <is>
          <t>40012416</t>
        </is>
      </c>
      <c r="AB1" s="31" t="inlineStr">
        <is>
          <t>40012452</t>
        </is>
      </c>
      <c r="AC1" s="31" t="inlineStr">
        <is>
          <t>40012698</t>
        </is>
      </c>
      <c r="AD1" s="31" t="inlineStr">
        <is>
          <t>40012709</t>
        </is>
      </c>
      <c r="AE1" s="31" t="inlineStr">
        <is>
          <t>40012745</t>
        </is>
      </c>
      <c r="AF1" s="31" t="inlineStr">
        <is>
          <t>40012841</t>
        </is>
      </c>
      <c r="AG1" s="31" t="inlineStr">
        <is>
          <t>40012858</t>
        </is>
      </c>
      <c r="AH1" s="31" t="inlineStr">
        <is>
          <t>60009672</t>
        </is>
      </c>
      <c r="AI1" s="31" t="inlineStr">
        <is>
          <t>60009689</t>
        </is>
      </c>
      <c r="AJ1" s="31" t="inlineStr">
        <is>
          <t>60009975</t>
        </is>
      </c>
      <c r="AK1" s="31" t="inlineStr">
        <is>
          <t>60010151</t>
        </is>
      </c>
      <c r="AL1" s="31" t="inlineStr">
        <is>
          <t>60010684</t>
        </is>
      </c>
      <c r="AM1" s="31" t="inlineStr">
        <is>
          <t>60010769</t>
        </is>
      </c>
      <c r="AN1" s="31" t="inlineStr">
        <is>
          <t>60015208</t>
        </is>
      </c>
      <c r="AO1" s="31" t="inlineStr">
        <is>
          <t>60041037</t>
        </is>
      </c>
      <c r="AP1" s="31" t="inlineStr">
        <is>
          <t>60043945</t>
        </is>
      </c>
      <c r="AQ1" s="31" t="inlineStr">
        <is>
          <t>60043985</t>
        </is>
      </c>
      <c r="AR1" s="31" t="inlineStr">
        <is>
          <t>60043993</t>
        </is>
      </c>
    </row>
    <row r="2">
      <c r="A2" t="inlineStr">
        <is>
          <t>0080</t>
        </is>
      </c>
      <c r="B2" t="inlineStr">
        <is>
          <t>0100</t>
        </is>
      </c>
      <c r="C2" t="inlineStr">
        <is>
          <t>0100</t>
        </is>
      </c>
      <c r="D2" t="inlineStr">
        <is>
          <t>0100</t>
        </is>
      </c>
      <c r="E2" t="inlineStr">
        <is>
          <t>0100</t>
        </is>
      </c>
      <c r="F2" t="inlineStr">
        <is>
          <t>0100</t>
        </is>
      </c>
      <c r="G2" t="inlineStr">
        <is>
          <t>0100</t>
        </is>
      </c>
      <c r="H2" t="inlineStr">
        <is>
          <t>0100</t>
        </is>
      </c>
      <c r="I2" t="inlineStr">
        <is>
          <t>0100</t>
        </is>
      </c>
      <c r="J2" t="inlineStr">
        <is>
          <t>0100</t>
        </is>
      </c>
      <c r="K2" t="inlineStr">
        <is>
          <t>0100</t>
        </is>
      </c>
      <c r="L2" t="inlineStr">
        <is>
          <t>0090</t>
        </is>
      </c>
      <c r="M2" t="inlineStr">
        <is>
          <t>0392</t>
        </is>
      </c>
      <c r="N2" t="inlineStr">
        <is>
          <t>0100</t>
        </is>
      </c>
      <c r="O2" t="inlineStr">
        <is>
          <t>0100</t>
        </is>
      </c>
      <c r="P2" t="inlineStr">
        <is>
          <t>0090</t>
        </is>
      </c>
      <c r="Q2" t="inlineStr">
        <is>
          <t>0090</t>
        </is>
      </c>
      <c r="R2" t="inlineStr">
        <is>
          <t>0100</t>
        </is>
      </c>
      <c r="S2" t="inlineStr">
        <is>
          <t>0100</t>
        </is>
      </c>
      <c r="T2" t="inlineStr">
        <is>
          <t>0100</t>
        </is>
      </c>
      <c r="U2" t="inlineStr">
        <is>
          <t>0100</t>
        </is>
      </c>
      <c r="V2" t="inlineStr">
        <is>
          <t>0131</t>
        </is>
      </c>
      <c r="W2" t="inlineStr">
        <is>
          <t>0260</t>
        </is>
      </c>
      <c r="X2" t="inlineStr">
        <is>
          <t>0030</t>
        </is>
      </c>
      <c r="Y2" t="inlineStr">
        <is>
          <t>0890</t>
        </is>
      </c>
      <c r="Z2" t="inlineStr">
        <is>
          <t>0270</t>
        </is>
      </c>
      <c r="AA2" t="inlineStr">
        <is>
          <t>0700</t>
        </is>
      </c>
      <c r="AB2" t="inlineStr">
        <is>
          <t>0480</t>
        </is>
      </c>
      <c r="AC2" t="inlineStr">
        <is>
          <t>0280</t>
        </is>
      </c>
      <c r="AD2" t="inlineStr">
        <is>
          <t>0020</t>
        </is>
      </c>
      <c r="AE2" t="inlineStr">
        <is>
          <t>1420</t>
        </is>
      </c>
      <c r="AF2" t="inlineStr">
        <is>
          <t>0430</t>
        </is>
      </c>
      <c r="AG2" t="inlineStr">
        <is>
          <t>0710</t>
        </is>
      </c>
      <c r="AH2" t="inlineStr">
        <is>
          <t>0010</t>
        </is>
      </c>
      <c r="AI2" t="inlineStr">
        <is>
          <t>0010</t>
        </is>
      </c>
      <c r="AJ2" t="inlineStr">
        <is>
          <t>0020</t>
        </is>
      </c>
      <c r="AK2" t="inlineStr">
        <is>
          <t>0010</t>
        </is>
      </c>
      <c r="AL2" t="inlineStr">
        <is>
          <t>0020</t>
        </is>
      </c>
      <c r="AM2" t="inlineStr">
        <is>
          <t>0010</t>
        </is>
      </c>
      <c r="AN2" t="inlineStr">
        <is>
          <t>0300</t>
        </is>
      </c>
      <c r="AO2" t="inlineStr">
        <is>
          <t>0010</t>
        </is>
      </c>
      <c r="AP2" t="inlineStr">
        <is>
          <t>0020</t>
        </is>
      </c>
      <c r="AQ2" t="inlineStr">
        <is>
          <t>0020</t>
        </is>
      </c>
      <c r="AR2" t="inlineStr">
        <is>
          <t>0020</t>
        </is>
      </c>
    </row>
    <row r="3">
      <c r="A3" t="inlineStr">
        <is>
          <t>0090</t>
        </is>
      </c>
      <c r="M3" t="inlineStr">
        <is>
          <t>0395</t>
        </is>
      </c>
      <c r="X3" t="inlineStr">
        <is>
          <t>0350</t>
        </is>
      </c>
      <c r="Z3" t="inlineStr">
        <is>
          <t>0340</t>
        </is>
      </c>
      <c r="AB3" t="inlineStr">
        <is>
          <t>0490</t>
        </is>
      </c>
      <c r="AF3" t="inlineStr">
        <is>
          <t>0440</t>
        </is>
      </c>
      <c r="AH3" t="inlineStr">
        <is>
          <t>0050</t>
        </is>
      </c>
      <c r="AP3" t="inlineStr">
        <is>
          <t>0030</t>
        </is>
      </c>
      <c r="AQ3" t="inlineStr">
        <is>
          <t>0030</t>
        </is>
      </c>
      <c r="AR3" t="inlineStr">
        <is>
          <t>0030</t>
        </is>
      </c>
    </row>
    <row r="4">
      <c r="A4" t="inlineStr">
        <is>
          <t>0140</t>
        </is>
      </c>
      <c r="M4" t="inlineStr">
        <is>
          <t>0396</t>
        </is>
      </c>
      <c r="AF4" t="inlineStr">
        <is>
          <t>0450</t>
        </is>
      </c>
      <c r="AP4" t="inlineStr">
        <is>
          <t>0050</t>
        </is>
      </c>
      <c r="AQ4" t="inlineStr">
        <is>
          <t>0080</t>
        </is>
      </c>
      <c r="AR4" t="inlineStr">
        <is>
          <t>0080</t>
        </is>
      </c>
    </row>
    <row r="5">
      <c r="M5" t="inlineStr">
        <is>
          <t>0397</t>
        </is>
      </c>
      <c r="AF5" t="inlineStr">
        <is>
          <t>0460</t>
        </is>
      </c>
      <c r="AP5" t="inlineStr">
        <is>
          <t>0080</t>
        </is>
      </c>
      <c r="AQ5" t="inlineStr">
        <is>
          <t>0090</t>
        </is>
      </c>
      <c r="AR5" t="inlineStr">
        <is>
          <t>0090</t>
        </is>
      </c>
    </row>
    <row r="6">
      <c r="M6" t="inlineStr">
        <is>
          <t>0398</t>
        </is>
      </c>
      <c r="AP6" t="inlineStr">
        <is>
          <t>0090</t>
        </is>
      </c>
      <c r="AQ6" t="inlineStr">
        <is>
          <t>0100</t>
        </is>
      </c>
      <c r="AR6" t="inlineStr">
        <is>
          <t>0100</t>
        </is>
      </c>
    </row>
    <row r="7">
      <c r="M7" t="inlineStr">
        <is>
          <t>0399</t>
        </is>
      </c>
      <c r="AP7" t="inlineStr">
        <is>
          <t>0100</t>
        </is>
      </c>
      <c r="AQ7" t="inlineStr">
        <is>
          <t>0110</t>
        </is>
      </c>
      <c r="AR7" t="inlineStr">
        <is>
          <t>0110</t>
        </is>
      </c>
    </row>
    <row r="8">
      <c r="M8" t="inlineStr">
        <is>
          <t>0400</t>
        </is>
      </c>
      <c r="AP8" t="inlineStr">
        <is>
          <t>0110</t>
        </is>
      </c>
      <c r="AQ8" t="inlineStr">
        <is>
          <t>0120</t>
        </is>
      </c>
      <c r="AR8" t="inlineStr">
        <is>
          <t>0120</t>
        </is>
      </c>
    </row>
    <row r="9">
      <c r="M9" t="inlineStr">
        <is>
          <t>0401</t>
        </is>
      </c>
      <c r="AP9" t="inlineStr">
        <is>
          <t>0120</t>
        </is>
      </c>
    </row>
    <row r="10">
      <c r="M10" t="inlineStr">
        <is>
          <t>0402</t>
        </is>
      </c>
    </row>
    <row r="11">
      <c r="M11" t="inlineStr">
        <is>
          <t>0403</t>
        </is>
      </c>
    </row>
    <row r="12">
      <c r="M12" t="inlineStr">
        <is>
          <t>0405</t>
        </is>
      </c>
    </row>
    <row r="13">
      <c r="M13" t="inlineStr">
        <is>
          <t>0406</t>
        </is>
      </c>
    </row>
    <row r="14">
      <c r="M14" t="inlineStr">
        <is>
          <t>0620</t>
        </is>
      </c>
    </row>
    <row r="15">
      <c r="M15" t="inlineStr">
        <is>
          <t>0630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B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1">
      <c r="B1" s="32" t="inlineStr">
        <is>
          <t>CF Turnaround Timesheet — FAQ</t>
        </is>
      </c>
    </row>
    <row r="3" ht="20" customHeight="1">
      <c r="B3" s="33" t="inlineStr">
        <is>
          <t>Layout</t>
        </is>
      </c>
    </row>
    <row r="4" ht="15" customHeight="1">
      <c r="B4" s="34" t="inlineStr">
        <is>
          <t>• Top: SUMMARY of hours by PO (updates itself).  Below it: one collapsible SECTION per PO.</t>
        </is>
      </c>
    </row>
    <row r="5" ht="30" customHeight="1">
      <c r="B5" s="34" t="inlineStr">
        <is>
          <t>• Collapse/expand a PO section with the − / + buttons in the grey margin on the far left. When collapsed you still see the PO and its RT/DT/Total on the section header.</t>
        </is>
      </c>
    </row>
    <row r="6" ht="15" customHeight="1">
      <c r="B6" s="34" t="inlineStr">
        <is>
          <t>• Set the PO once per section (the 'PO ▸' cell), then add the people underneath.</t>
        </is>
      </c>
    </row>
    <row r="8" ht="20" customHeight="1">
      <c r="B8" s="33" t="inlineStr">
        <is>
          <t>Entering time</t>
        </is>
      </c>
    </row>
    <row r="9" ht="30" customHeight="1">
      <c r="B9" s="34" t="inlineStr">
        <is>
          <t>• Each row: Employee, Trade, WO ID, OP Step, RT, DT (Total auto-adds), Work Location, Offsite Hrs, Notes.</t>
        </is>
      </c>
    </row>
    <row r="10" ht="30" customHeight="1">
      <c r="B10" s="34" t="inlineStr">
        <is>
          <t>• Pick the WO ID first — the OP Step dropdown then shows only the op steps that belong to that WO.</t>
        </is>
      </c>
    </row>
    <row r="11" ht="30" customHeight="1">
      <c r="B11" s="34" t="inlineStr">
        <is>
          <t>• The WO name appears to the right as faint reference only; it is NOT part of the table you submit.</t>
        </is>
      </c>
    </row>
    <row r="13" ht="20" customHeight="1">
      <c r="B13" s="33" t="inlineStr">
        <is>
          <t>Adding vendors / employees / trades / POs / work orders</t>
        </is>
      </c>
    </row>
    <row r="14" ht="15" customHeight="1">
      <c r="B14" s="34" t="inlineStr">
        <is>
          <t>• Reference tab holds Vendors, Employees, Trades and POs — add rows and the dropdowns update.</t>
        </is>
      </c>
    </row>
    <row r="15" ht="30" customHeight="1">
      <c r="B15" s="34" t="inlineStr">
        <is>
          <t>• Work Orders tab holds WO ID → Name.  Op-step lists per WO live on the hidden _OP sheet (unhide to edit).</t>
        </is>
      </c>
    </row>
    <row r="16" ht="15" customHeight="1">
      <c r="B16" s="34" t="inlineStr">
        <is>
          <t>• A red cell means the value isn't in the reference lists yet.</t>
        </is>
      </c>
    </row>
    <row r="18" ht="20" customHeight="1">
      <c r="B18" s="33" t="inlineStr">
        <is>
          <t>Notes</t>
        </is>
      </c>
    </row>
    <row r="19" ht="30" customHeight="1">
      <c r="B19" s="34" t="inlineStr">
        <is>
          <t>• Yellow = you fill in.  Everything else is calculated.  Need more rows/sections? copy a block or ask.</t>
        </is>
      </c>
    </row>
    <row r="20" ht="30" customHeight="1">
      <c r="B20" s="34" t="inlineStr">
        <is>
          <t>• Offsite Hrs + Power BI drive the swipe comparison; use Notes to explain any offsite/hold-up time.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2026-07-22T18:03:46Z</dcterms:created>
  <dcterms:modified xsi:type="dcterms:W3CDTF">2026-07-22T18:03:46Z</dcterms:modified>
</cp:coreProperties>
</file>