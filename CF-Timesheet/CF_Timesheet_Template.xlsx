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mesheet" sheetId="1" state="visible" r:id="rId1"/>
    <sheet name="Reference" sheetId="2" state="visible" r:id="rId2"/>
    <sheet name="Work Orders" sheetId="3" state="visible" r:id="rId3"/>
    <sheet name="FAQ" sheetId="4" state="visible" r:id="rId4"/>
  </sheets>
  <definedNames>
    <definedName name="VendorNames">Reference!$C$3:$C$53</definedName>
    <definedName name="EmpNames">Reference!$E$3:$E$403</definedName>
    <definedName name="TradeNames">Reference!$I$3:$I$203</definedName>
    <definedName name="PONames">Reference!$K$3:$K$303</definedName>
    <definedName name="ShiftList">Reference!$M$3:$M$4</definedName>
    <definedName name="LocList">Reference!$N$3:$N$5</definedName>
    <definedName name="SwipeList">Reference!$O$3:$O$8</definedName>
    <definedName name="HoldUpList">Reference!$P$3:$P$13</definedName>
    <definedName name="WONames">'Work Orders'!$A$3:$A$46</definedName>
    <definedName name="WOTable">'Work Orders'!$A$3:$B$46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;[Red]-0.0"/>
  </numFmts>
  <fonts count="18">
    <font>
      <name val="Calibri"/>
      <family val="2"/>
      <color theme="1"/>
      <sz val="11"/>
      <scheme val="minor"/>
    </font>
    <font>
      <name val="Calibri"/>
      <b val="1"/>
      <color rgb="00015846"/>
      <sz val="22"/>
    </font>
    <font>
      <name val="Calibri"/>
      <color rgb="006B7A77"/>
      <sz val="11"/>
    </font>
    <font>
      <name val="Calibri"/>
      <color rgb="006B7A77"/>
      <sz val="9"/>
    </font>
    <font>
      <name val="Calibri"/>
      <b val="1"/>
      <color rgb="00B7791F"/>
      <sz val="9"/>
    </font>
    <font>
      <name val="Calibri"/>
      <b val="1"/>
      <color rgb="00FFFFFF"/>
      <sz val="11"/>
    </font>
    <font>
      <name val="Calibri"/>
      <b val="1"/>
      <color rgb="006B7A77"/>
      <sz val="8"/>
    </font>
    <font>
      <name val="Calibri"/>
      <b val="1"/>
      <color rgb="001F2A28"/>
      <sz val="12"/>
    </font>
    <font>
      <name val="Calibri"/>
      <color rgb="001F2A28"/>
      <sz val="11"/>
    </font>
    <font>
      <name val="Calibri"/>
      <b val="1"/>
      <color rgb="001F2A28"/>
      <sz val="10"/>
    </font>
    <font>
      <name val="Calibri"/>
      <b val="1"/>
      <color rgb="00FFFFFF"/>
      <sz val="9.5"/>
    </font>
    <font>
      <name val="Calibri"/>
      <color rgb="001F2A28"/>
      <sz val="10"/>
    </font>
    <font>
      <name val="Calibri"/>
      <color rgb="006B7A77"/>
      <sz val="10"/>
    </font>
    <font>
      <name val="Calibri"/>
      <b val="1"/>
      <color rgb="001F2A28"/>
      <sz val="11"/>
    </font>
    <font>
      <name val="Calibri"/>
      <b val="1"/>
      <color rgb="00015846"/>
      <sz val="10"/>
    </font>
    <font>
      <name val="Calibri"/>
      <b val="1"/>
      <color rgb="006B7A77"/>
      <sz val="9"/>
    </font>
    <font>
      <name val="Calibri"/>
      <b val="1"/>
      <color rgb="00015846"/>
      <sz val="16"/>
    </font>
    <font>
      <name val="Calibri"/>
      <b val="1"/>
      <color rgb="0000C7B1"/>
      <sz val="12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15846"/>
      </patternFill>
    </fill>
    <fill>
      <patternFill patternType="solid">
        <fgColor rgb="00FFF3CB"/>
      </patternFill>
    </fill>
    <fill>
      <patternFill patternType="solid">
        <fgColor rgb="00EDF1F0"/>
      </patternFill>
    </fill>
    <fill>
      <patternFill patternType="solid">
        <fgColor rgb="0000C7B1"/>
      </patternFill>
    </fill>
    <fill>
      <patternFill patternType="solid">
        <fgColor rgb="000A6E5A"/>
      </patternFill>
    </fill>
    <fill>
      <patternFill patternType="solid">
        <fgColor rgb="00F6FAF9"/>
      </patternFill>
    </fill>
    <fill>
      <patternFill patternType="solid">
        <fgColor rgb="00F4C7C3"/>
      </patternFill>
    </fill>
  </fills>
  <borders count="5">
    <border>
      <left/>
      <right/>
      <top/>
      <bottom/>
      <diagonal/>
    </border>
    <border>
      <left style="thin">
        <color rgb="00D5DEDC"/>
      </left>
      <right style="thin">
        <color rgb="00D5DEDC"/>
      </right>
      <top style="thin">
        <color rgb="00D5DEDC"/>
      </top>
      <bottom style="medium">
        <color rgb="00F1C232"/>
      </bottom>
    </border>
    <border>
      <left style="thin">
        <color rgb="00D5DEDC"/>
      </left>
      <right style="thin">
        <color rgb="00D5DEDC"/>
      </right>
      <top style="thin">
        <color rgb="00D5DEDC"/>
      </top>
      <bottom style="medium">
        <color rgb="00C9D3D1"/>
      </bottom>
    </border>
    <border>
      <left style="thin">
        <color rgb="00FFFFFF"/>
      </left>
      <right style="thin">
        <color rgb="00FFFFFF"/>
      </right>
      <bottom style="thin">
        <color rgb="00FFFFFF"/>
      </bottom>
    </border>
    <border>
      <left style="thin">
        <color rgb="00D5DEDC"/>
      </left>
      <right style="thin">
        <color rgb="00D5DEDC"/>
      </right>
      <top style="thin">
        <color rgb="00D5DEDC"/>
      </top>
      <bottom style="thin">
        <color rgb="00D5DED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2" fillId="2" borderId="0" pivotButton="0" quotePrefix="0" xfId="0"/>
    <xf numFmtId="0" fontId="4" fillId="2" borderId="0" applyAlignment="1" pivotButton="0" quotePrefix="0" xfId="0">
      <alignment horizontal="right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bottom" indent="1"/>
    </xf>
    <xf numFmtId="0" fontId="7" fillId="4" borderId="1" applyAlignment="1" applyProtection="1" pivotButton="0" quotePrefix="0" xfId="0">
      <alignment horizontal="left" vertical="center" indent="1"/>
      <protection locked="0" hidden="0"/>
    </xf>
    <xf numFmtId="164" fontId="8" fillId="4" borderId="1" applyAlignment="1" applyProtection="1" pivotButton="0" quotePrefix="0" xfId="0">
      <alignment horizontal="left" vertical="center" indent="1"/>
      <protection locked="0" hidden="0"/>
    </xf>
    <xf numFmtId="0" fontId="8" fillId="4" borderId="1" applyAlignment="1" applyProtection="1" pivotButton="0" quotePrefix="0" xfId="0">
      <alignment horizontal="left" vertical="center" indent="1"/>
      <protection locked="0" hidden="0"/>
    </xf>
    <xf numFmtId="0" fontId="8" fillId="5" borderId="2" applyAlignment="1" pivotButton="0" quotePrefix="0" xfId="0">
      <alignment horizontal="left" vertical="center" indent="1"/>
    </xf>
    <xf numFmtId="165" fontId="8" fillId="5" borderId="2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1" fillId="4" borderId="4" applyAlignment="1" applyProtection="1" pivotButton="0" quotePrefix="0" xfId="0">
      <alignment horizontal="left" vertical="center" indent="1"/>
      <protection locked="0" hidden="0"/>
    </xf>
    <xf numFmtId="0" fontId="11" fillId="4" borderId="4" applyAlignment="1" applyProtection="1" pivotButton="0" quotePrefix="0" xfId="0">
      <alignment horizontal="left" vertical="center" wrapText="1" indent="1"/>
      <protection locked="0" hidden="0"/>
    </xf>
    <xf numFmtId="0" fontId="11" fillId="4" borderId="4" applyAlignment="1" applyProtection="1" pivotButton="0" quotePrefix="0" xfId="0">
      <alignment horizontal="center" vertical="center"/>
      <protection locked="0" hidden="0"/>
    </xf>
    <xf numFmtId="0" fontId="12" fillId="5" borderId="4" applyAlignment="1" pivotButton="0" quotePrefix="0" xfId="0">
      <alignment horizontal="left" vertical="center" wrapText="1" indent="1"/>
    </xf>
    <xf numFmtId="165" fontId="12" fillId="5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left" vertical="center" indent="1"/>
    </xf>
    <xf numFmtId="166" fontId="12" fillId="5" borderId="4" applyAlignment="1" pivotButton="0" quotePrefix="0" xfId="0">
      <alignment horizontal="center" vertical="center"/>
    </xf>
    <xf numFmtId="0" fontId="12" fillId="8" borderId="4" applyAlignment="1" pivotButton="0" quotePrefix="0" xfId="0">
      <alignment horizontal="left" vertical="center" wrapText="1" indent="1"/>
    </xf>
    <xf numFmtId="165" fontId="12" fillId="8" borderId="4" applyAlignment="1" pivotButton="0" quotePrefix="0" xfId="0">
      <alignment horizontal="center" vertical="center"/>
    </xf>
    <xf numFmtId="0" fontId="12" fillId="8" borderId="4" applyAlignment="1" pivotButton="0" quotePrefix="0" xfId="0">
      <alignment horizontal="left" vertical="center" indent="1"/>
    </xf>
    <xf numFmtId="166" fontId="12" fillId="8" borderId="4" applyAlignment="1" pivotButton="0" quotePrefix="0" xfId="0">
      <alignment horizontal="center" vertical="center"/>
    </xf>
    <xf numFmtId="0" fontId="5" fillId="3" borderId="0" applyAlignment="1" pivotButton="0" quotePrefix="0" xfId="0">
      <alignment horizontal="right" vertical="center" indent="1"/>
    </xf>
    <xf numFmtId="165" fontId="13" fillId="6" borderId="4" applyAlignment="1" pivotButton="0" quotePrefix="0" xfId="0">
      <alignment horizontal="center" vertical="center"/>
    </xf>
    <xf numFmtId="0" fontId="0" fillId="6" borderId="0" pivotButton="0" quotePrefix="0" xfId="0"/>
    <xf numFmtId="0" fontId="14" fillId="0" borderId="0" pivotButton="0" quotePrefix="0" xfId="0"/>
    <xf numFmtId="0" fontId="0" fillId="4" borderId="1" applyAlignment="1" applyProtection="1" pivotButton="0" quotePrefix="0" xfId="0">
      <alignment horizontal="left" vertical="top" wrapText="1" indent="1"/>
      <protection locked="0" hidden="0"/>
    </xf>
    <xf numFmtId="0" fontId="15" fillId="0" borderId="0" pivotButton="0" quotePrefix="0" xfId="0"/>
    <xf numFmtId="0" fontId="0" fillId="4" borderId="4" pivotButton="0" quotePrefix="0" xfId="0"/>
    <xf numFmtId="0" fontId="3" fillId="0" borderId="0" applyAlignment="1" pivotButton="0" quotePrefix="0" xfId="0">
      <alignment horizontal="left" vertical="center" indent="1"/>
    </xf>
    <xf numFmtId="0" fontId="0" fillId="5" borderId="4" pivotButton="0" quotePrefix="0" xfId="0"/>
    <xf numFmtId="0" fontId="0" fillId="6" borderId="4" pivotButton="0" quotePrefix="0" xfId="0"/>
    <xf numFmtId="0" fontId="0" fillId="9" borderId="4" pivotButton="0" quotePrefix="0" xfId="0"/>
    <xf numFmtId="0" fontId="10" fillId="7" borderId="4" applyAlignment="1" pivotButton="0" quotePrefix="0" xfId="0">
      <alignment horizontal="center" vertical="center"/>
    </xf>
    <xf numFmtId="0" fontId="0" fillId="0" borderId="4" pivotButton="0" quotePrefix="0" xfId="0"/>
    <xf numFmtId="0" fontId="16" fillId="0" borderId="0" pivotButton="0" quotePrefix="0" xfId="0"/>
    <xf numFmtId="0" fontId="17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4C7C3"/>
        </patternFill>
      </fill>
    </dxf>
    <dxf>
      <fill>
        <patternFill patternType="solid">
          <fgColor rgb="00FCE4A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1257300" cy="742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1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2.5" customWidth="1" min="1" max="1"/>
    <col width="22" customWidth="1" min="2" max="2"/>
    <col width="28" customWidth="1" min="3" max="3"/>
    <col width="34" customWidth="1" min="4" max="4"/>
    <col width="12" customWidth="1" min="5" max="5"/>
    <col width="30" customWidth="1" min="6" max="6"/>
    <col width="19" customWidth="1" min="7" max="7"/>
    <col width="7" customWidth="1" min="8" max="8"/>
    <col width="7" customWidth="1" min="9" max="9"/>
    <col width="8" customWidth="1" min="10" max="10"/>
    <col width="14" customWidth="1" min="11" max="11"/>
    <col width="24" customWidth="1" min="12" max="12"/>
    <col hidden="1" width="30" customWidth="1" min="13" max="13"/>
    <col hidden="1" outlineLevel="1" width="10" customWidth="1" min="14" max="14"/>
    <col hidden="1" outlineLevel="1" width="9" customWidth="1" min="15" max="15"/>
    <col hidden="1" outlineLevel="1" width="20" customWidth="1" min="16" max="16"/>
    <col hidden="1" outlineLevel="1" width="18" customWidth="1" min="17" max="17"/>
  </cols>
  <sheetData>
    <row r="1" ht="2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26" customHeight="1">
      <c r="A2" s="1" t="n"/>
      <c r="B2" s="1" t="n"/>
      <c r="C2" s="1" t="n"/>
      <c r="D2" s="2" t="inlineStr">
        <is>
          <t>TURNAROUND TIME ENTRY</t>
        </is>
      </c>
      <c r="K2" s="1" t="n"/>
      <c r="L2" s="1" t="n"/>
      <c r="M2" s="1" t="n"/>
      <c r="N2" s="1" t="n"/>
      <c r="O2" s="1" t="n"/>
      <c r="P2" s="3" t="inlineStr">
        <is>
          <t>Ver. 2.0</t>
        </is>
      </c>
    </row>
    <row r="3" ht="20" customHeight="1">
      <c r="A3" s="1" t="n"/>
      <c r="B3" s="1" t="n"/>
      <c r="C3" s="1" t="n"/>
      <c r="D3" s="4" t="inlineStr">
        <is>
          <t>CF Industries  •  Shop / Fab</t>
        </is>
      </c>
      <c r="K3" s="1" t="n"/>
      <c r="L3" s="1" t="n"/>
      <c r="M3" s="1" t="n"/>
      <c r="N3" s="1" t="n"/>
      <c r="O3" s="1" t="n"/>
      <c r="P3" s="5" t="inlineStr">
        <is>
          <t>Fill the yellow cells only</t>
        </is>
      </c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22" customHeight="1">
      <c r="B5" s="6" t="inlineStr">
        <is>
          <t>TIMESHEET HEADER</t>
        </is>
      </c>
    </row>
    <row r="6" ht="13" customHeight="1">
      <c r="B6" s="7" t="inlineStr">
        <is>
          <t>VENDOR  (NAME - ID)</t>
        </is>
      </c>
      <c r="F6" s="7" t="inlineStr">
        <is>
          <t>DATE</t>
        </is>
      </c>
      <c r="H6" s="7" t="inlineStr">
        <is>
          <t>SHIFT</t>
        </is>
      </c>
      <c r="K6" s="7" t="inlineStr">
        <is>
          <t>CLIENT</t>
        </is>
      </c>
    </row>
    <row r="7" ht="24" customHeight="1">
      <c r="B7" s="8" t="inlineStr"/>
      <c r="F7" s="9" t="inlineStr"/>
      <c r="H7" s="10" t="inlineStr"/>
      <c r="K7" s="11" t="inlineStr">
        <is>
          <t>CF Industries</t>
        </is>
      </c>
    </row>
    <row r="8" ht="13" customHeight="1">
      <c r="B8" s="7" t="inlineStr">
        <is>
          <t>POSTING DATE</t>
        </is>
      </c>
      <c r="D8" s="7" t="inlineStr">
        <is>
          <t>PREPARED BY</t>
        </is>
      </c>
      <c r="F8" s="7" t="inlineStr">
        <is>
          <t>APPROVED BY</t>
        </is>
      </c>
      <c r="H8" s="7" t="inlineStr">
        <is>
          <t>SHEET #  (E.G. 1 OF 2)</t>
        </is>
      </c>
      <c r="K8" s="7" t="inlineStr">
        <is>
          <t>TOTAL HOURS (AUTO)</t>
        </is>
      </c>
    </row>
    <row r="9" ht="22" customHeight="1">
      <c r="B9" s="9" t="inlineStr"/>
      <c r="D9" s="10" t="inlineStr"/>
      <c r="F9" s="10" t="inlineStr"/>
      <c r="H9" s="10" t="inlineStr"/>
      <c r="K9" s="12">
        <f>SUM(J13:J52)</f>
        <v/>
      </c>
    </row>
    <row r="10" ht="6" customHeight="1"/>
    <row r="11" ht="22" customHeight="1">
      <c r="B11" s="6" t="inlineStr">
        <is>
          <t>LABOR  —  one row per employee / work order</t>
        </is>
      </c>
      <c r="N11" s="13" t="inlineStr">
        <is>
          <t>RECONCILIATION  (expand ►)</t>
        </is>
      </c>
    </row>
    <row r="12" ht="30" customHeight="1">
      <c r="B12" s="14" t="inlineStr">
        <is>
          <t>Employee Name</t>
        </is>
      </c>
      <c r="C12" s="14" t="inlineStr">
        <is>
          <t>Trade / Position</t>
        </is>
      </c>
      <c r="D12" s="14" t="inlineStr">
        <is>
          <t>PO / Job</t>
        </is>
      </c>
      <c r="E12" s="14" t="inlineStr">
        <is>
          <t>WO ID</t>
        </is>
      </c>
      <c r="F12" s="14" t="inlineStr">
        <is>
          <t>WO Name</t>
        </is>
      </c>
      <c r="G12" s="14" t="inlineStr">
        <is>
          <t>OP Steps  (e.g. 0392, 0395)</t>
        </is>
      </c>
      <c r="H12" s="14" t="inlineStr">
        <is>
          <t>DT
Hrs</t>
        </is>
      </c>
      <c r="I12" s="14" t="inlineStr">
        <is>
          <t>RT
Hrs</t>
        </is>
      </c>
      <c r="J12" s="14" t="inlineStr">
        <is>
          <t>Total
Hrs</t>
        </is>
      </c>
      <c r="K12" s="14" t="inlineStr">
        <is>
          <t>Work Location</t>
        </is>
      </c>
      <c r="L12" s="14" t="inlineStr">
        <is>
          <t>Notes</t>
        </is>
      </c>
      <c r="M12" s="14" t="inlineStr">
        <is>
          <t>WOOP Export Key</t>
        </is>
      </c>
      <c r="N12" s="15" t="inlineStr">
        <is>
          <t>Lenel
Hrs</t>
        </is>
      </c>
      <c r="O12" s="15" t="inlineStr">
        <is>
          <t>Devi-
ation</t>
        </is>
      </c>
      <c r="P12" s="15" t="inlineStr">
        <is>
          <t>Swipe Deviation Reason</t>
        </is>
      </c>
      <c r="Q12" s="15" t="inlineStr">
        <is>
          <t>Hold Up Type</t>
        </is>
      </c>
    </row>
    <row r="13" ht="28" customHeight="1">
      <c r="A13" t="inlineStr">
        <is>
          <t>Labor</t>
        </is>
      </c>
      <c r="B13" s="16" t="n"/>
      <c r="C13" s="17" t="n"/>
      <c r="D13" s="17" t="n"/>
      <c r="E13" s="18" t="n"/>
      <c r="F13" s="19">
        <f>IFERROR(IF($E13="","",VLOOKUP($E13,WOTable,2,FALSE)),"?")</f>
        <v/>
      </c>
      <c r="G13" s="17" t="n"/>
      <c r="H13" s="18" t="n"/>
      <c r="I13" s="18" t="n"/>
      <c r="J13" s="20">
        <f>IF(AND($H13="",$I13=""),"",N($H13)+N($I13))</f>
        <v/>
      </c>
      <c r="K13" s="16" t="n"/>
      <c r="L13" s="17" t="n"/>
      <c r="M13" s="21">
        <f>IF(OR($E13="",$G13=""),"","WO"&amp;$E13&amp;"OP"&amp;SUBSTITUTE(SUBSTITUTE(TRIM($G13)," ",""),",",",OP"))</f>
        <v/>
      </c>
      <c r="N13" s="18" t="n"/>
      <c r="O13" s="22">
        <f>IF(OR($J13="",$N13=""),"",$J13-$N13)</f>
        <v/>
      </c>
      <c r="P13" s="17" t="n"/>
      <c r="Q13" s="16" t="n"/>
    </row>
    <row r="14" ht="28" customHeight="1">
      <c r="A14" t="inlineStr">
        <is>
          <t>Labor</t>
        </is>
      </c>
      <c r="B14" s="16" t="n"/>
      <c r="C14" s="17" t="n"/>
      <c r="D14" s="17" t="n"/>
      <c r="E14" s="18" t="n"/>
      <c r="F14" s="23">
        <f>IFERROR(IF($E14="","",VLOOKUP($E14,WOTable,2,FALSE)),"?")</f>
        <v/>
      </c>
      <c r="G14" s="17" t="n"/>
      <c r="H14" s="18" t="n"/>
      <c r="I14" s="18" t="n"/>
      <c r="J14" s="24">
        <f>IF(AND($H14="",$I14=""),"",N($H14)+N($I14))</f>
        <v/>
      </c>
      <c r="K14" s="16" t="n"/>
      <c r="L14" s="17" t="n"/>
      <c r="M14" s="25">
        <f>IF(OR($E14="",$G14=""),"","WO"&amp;$E14&amp;"OP"&amp;SUBSTITUTE(SUBSTITUTE(TRIM($G14)," ",""),",",",OP"))</f>
        <v/>
      </c>
      <c r="N14" s="18" t="n"/>
      <c r="O14" s="26">
        <f>IF(OR($J14="",$N14=""),"",$J14-$N14)</f>
        <v/>
      </c>
      <c r="P14" s="17" t="n"/>
      <c r="Q14" s="16" t="n"/>
    </row>
    <row r="15" ht="28" customHeight="1">
      <c r="A15" t="inlineStr">
        <is>
          <t>Labor</t>
        </is>
      </c>
      <c r="B15" s="16" t="n"/>
      <c r="C15" s="17" t="n"/>
      <c r="D15" s="17" t="n"/>
      <c r="E15" s="18" t="n"/>
      <c r="F15" s="19">
        <f>IFERROR(IF($E15="","",VLOOKUP($E15,WOTable,2,FALSE)),"?")</f>
        <v/>
      </c>
      <c r="G15" s="17" t="n"/>
      <c r="H15" s="18" t="n"/>
      <c r="I15" s="18" t="n"/>
      <c r="J15" s="20">
        <f>IF(AND($H15="",$I15=""),"",N($H15)+N($I15))</f>
        <v/>
      </c>
      <c r="K15" s="16" t="n"/>
      <c r="L15" s="17" t="n"/>
      <c r="M15" s="21">
        <f>IF(OR($E15="",$G15=""),"","WO"&amp;$E15&amp;"OP"&amp;SUBSTITUTE(SUBSTITUTE(TRIM($G15)," ",""),",",",OP"))</f>
        <v/>
      </c>
      <c r="N15" s="18" t="n"/>
      <c r="O15" s="22">
        <f>IF(OR($J15="",$N15=""),"",$J15-$N15)</f>
        <v/>
      </c>
      <c r="P15" s="17" t="n"/>
      <c r="Q15" s="16" t="n"/>
    </row>
    <row r="16" ht="28" customHeight="1">
      <c r="A16" t="inlineStr">
        <is>
          <t>Labor</t>
        </is>
      </c>
      <c r="B16" s="16" t="n"/>
      <c r="C16" s="17" t="n"/>
      <c r="D16" s="17" t="n"/>
      <c r="E16" s="18" t="n"/>
      <c r="F16" s="23">
        <f>IFERROR(IF($E16="","",VLOOKUP($E16,WOTable,2,FALSE)),"?")</f>
        <v/>
      </c>
      <c r="G16" s="17" t="n"/>
      <c r="H16" s="18" t="n"/>
      <c r="I16" s="18" t="n"/>
      <c r="J16" s="24">
        <f>IF(AND($H16="",$I16=""),"",N($H16)+N($I16))</f>
        <v/>
      </c>
      <c r="K16" s="16" t="n"/>
      <c r="L16" s="17" t="n"/>
      <c r="M16" s="25">
        <f>IF(OR($E16="",$G16=""),"","WO"&amp;$E16&amp;"OP"&amp;SUBSTITUTE(SUBSTITUTE(TRIM($G16)," ",""),",",",OP"))</f>
        <v/>
      </c>
      <c r="N16" s="18" t="n"/>
      <c r="O16" s="26">
        <f>IF(OR($J16="",$N16=""),"",$J16-$N16)</f>
        <v/>
      </c>
      <c r="P16" s="17" t="n"/>
      <c r="Q16" s="16" t="n"/>
    </row>
    <row r="17" ht="28" customHeight="1">
      <c r="A17" t="inlineStr">
        <is>
          <t>Labor</t>
        </is>
      </c>
      <c r="B17" s="16" t="n"/>
      <c r="C17" s="17" t="n"/>
      <c r="D17" s="17" t="n"/>
      <c r="E17" s="18" t="n"/>
      <c r="F17" s="19">
        <f>IFERROR(IF($E17="","",VLOOKUP($E17,WOTable,2,FALSE)),"?")</f>
        <v/>
      </c>
      <c r="G17" s="17" t="n"/>
      <c r="H17" s="18" t="n"/>
      <c r="I17" s="18" t="n"/>
      <c r="J17" s="20">
        <f>IF(AND($H17="",$I17=""),"",N($H17)+N($I17))</f>
        <v/>
      </c>
      <c r="K17" s="16" t="n"/>
      <c r="L17" s="17" t="n"/>
      <c r="M17" s="21">
        <f>IF(OR($E17="",$G17=""),"","WO"&amp;$E17&amp;"OP"&amp;SUBSTITUTE(SUBSTITUTE(TRIM($G17)," ",""),",",",OP"))</f>
        <v/>
      </c>
      <c r="N17" s="18" t="n"/>
      <c r="O17" s="22">
        <f>IF(OR($J17="",$N17=""),"",$J17-$N17)</f>
        <v/>
      </c>
      <c r="P17" s="17" t="n"/>
      <c r="Q17" s="16" t="n"/>
    </row>
    <row r="18" ht="28" customHeight="1">
      <c r="A18" t="inlineStr">
        <is>
          <t>Labor</t>
        </is>
      </c>
      <c r="B18" s="16" t="n"/>
      <c r="C18" s="17" t="n"/>
      <c r="D18" s="17" t="n"/>
      <c r="E18" s="18" t="n"/>
      <c r="F18" s="23">
        <f>IFERROR(IF($E18="","",VLOOKUP($E18,WOTable,2,FALSE)),"?")</f>
        <v/>
      </c>
      <c r="G18" s="17" t="n"/>
      <c r="H18" s="18" t="n"/>
      <c r="I18" s="18" t="n"/>
      <c r="J18" s="24">
        <f>IF(AND($H18="",$I18=""),"",N($H18)+N($I18))</f>
        <v/>
      </c>
      <c r="K18" s="16" t="n"/>
      <c r="L18" s="17" t="n"/>
      <c r="M18" s="25">
        <f>IF(OR($E18="",$G18=""),"","WO"&amp;$E18&amp;"OP"&amp;SUBSTITUTE(SUBSTITUTE(TRIM($G18)," ",""),",",",OP"))</f>
        <v/>
      </c>
      <c r="N18" s="18" t="n"/>
      <c r="O18" s="26">
        <f>IF(OR($J18="",$N18=""),"",$J18-$N18)</f>
        <v/>
      </c>
      <c r="P18" s="17" t="n"/>
      <c r="Q18" s="16" t="n"/>
    </row>
    <row r="19" ht="28" customHeight="1">
      <c r="A19" t="inlineStr">
        <is>
          <t>Labor</t>
        </is>
      </c>
      <c r="B19" s="16" t="n"/>
      <c r="C19" s="17" t="n"/>
      <c r="D19" s="17" t="n"/>
      <c r="E19" s="18" t="n"/>
      <c r="F19" s="19">
        <f>IFERROR(IF($E19="","",VLOOKUP($E19,WOTable,2,FALSE)),"?")</f>
        <v/>
      </c>
      <c r="G19" s="17" t="n"/>
      <c r="H19" s="18" t="n"/>
      <c r="I19" s="18" t="n"/>
      <c r="J19" s="20">
        <f>IF(AND($H19="",$I19=""),"",N($H19)+N($I19))</f>
        <v/>
      </c>
      <c r="K19" s="16" t="n"/>
      <c r="L19" s="17" t="n"/>
      <c r="M19" s="21">
        <f>IF(OR($E19="",$G19=""),"","WO"&amp;$E19&amp;"OP"&amp;SUBSTITUTE(SUBSTITUTE(TRIM($G19)," ",""),",",",OP"))</f>
        <v/>
      </c>
      <c r="N19" s="18" t="n"/>
      <c r="O19" s="22">
        <f>IF(OR($J19="",$N19=""),"",$J19-$N19)</f>
        <v/>
      </c>
      <c r="P19" s="17" t="n"/>
      <c r="Q19" s="16" t="n"/>
    </row>
    <row r="20" ht="28" customHeight="1">
      <c r="A20" t="inlineStr">
        <is>
          <t>Labor</t>
        </is>
      </c>
      <c r="B20" s="16" t="n"/>
      <c r="C20" s="17" t="n"/>
      <c r="D20" s="17" t="n"/>
      <c r="E20" s="18" t="n"/>
      <c r="F20" s="23">
        <f>IFERROR(IF($E20="","",VLOOKUP($E20,WOTable,2,FALSE)),"?")</f>
        <v/>
      </c>
      <c r="G20" s="17" t="n"/>
      <c r="H20" s="18" t="n"/>
      <c r="I20" s="18" t="n"/>
      <c r="J20" s="24">
        <f>IF(AND($H20="",$I20=""),"",N($H20)+N($I20))</f>
        <v/>
      </c>
      <c r="K20" s="16" t="n"/>
      <c r="L20" s="17" t="n"/>
      <c r="M20" s="25">
        <f>IF(OR($E20="",$G20=""),"","WO"&amp;$E20&amp;"OP"&amp;SUBSTITUTE(SUBSTITUTE(TRIM($G20)," ",""),",",",OP"))</f>
        <v/>
      </c>
      <c r="N20" s="18" t="n"/>
      <c r="O20" s="26">
        <f>IF(OR($J20="",$N20=""),"",$J20-$N20)</f>
        <v/>
      </c>
      <c r="P20" s="17" t="n"/>
      <c r="Q20" s="16" t="n"/>
    </row>
    <row r="21" ht="28" customHeight="1">
      <c r="A21" t="inlineStr">
        <is>
          <t>Labor</t>
        </is>
      </c>
      <c r="B21" s="16" t="n"/>
      <c r="C21" s="17" t="n"/>
      <c r="D21" s="17" t="n"/>
      <c r="E21" s="18" t="n"/>
      <c r="F21" s="19">
        <f>IFERROR(IF($E21="","",VLOOKUP($E21,WOTable,2,FALSE)),"?")</f>
        <v/>
      </c>
      <c r="G21" s="17" t="n"/>
      <c r="H21" s="18" t="n"/>
      <c r="I21" s="18" t="n"/>
      <c r="J21" s="20">
        <f>IF(AND($H21="",$I21=""),"",N($H21)+N($I21))</f>
        <v/>
      </c>
      <c r="K21" s="16" t="n"/>
      <c r="L21" s="17" t="n"/>
      <c r="M21" s="21">
        <f>IF(OR($E21="",$G21=""),"","WO"&amp;$E21&amp;"OP"&amp;SUBSTITUTE(SUBSTITUTE(TRIM($G21)," ",""),",",",OP"))</f>
        <v/>
      </c>
      <c r="N21" s="18" t="n"/>
      <c r="O21" s="22">
        <f>IF(OR($J21="",$N21=""),"",$J21-$N21)</f>
        <v/>
      </c>
      <c r="P21" s="17" t="n"/>
      <c r="Q21" s="16" t="n"/>
    </row>
    <row r="22" ht="28" customHeight="1">
      <c r="A22" t="inlineStr">
        <is>
          <t>Labor</t>
        </is>
      </c>
      <c r="B22" s="16" t="n"/>
      <c r="C22" s="17" t="n"/>
      <c r="D22" s="17" t="n"/>
      <c r="E22" s="18" t="n"/>
      <c r="F22" s="23">
        <f>IFERROR(IF($E22="","",VLOOKUP($E22,WOTable,2,FALSE)),"?")</f>
        <v/>
      </c>
      <c r="G22" s="17" t="n"/>
      <c r="H22" s="18" t="n"/>
      <c r="I22" s="18" t="n"/>
      <c r="J22" s="24">
        <f>IF(AND($H22="",$I22=""),"",N($H22)+N($I22))</f>
        <v/>
      </c>
      <c r="K22" s="16" t="n"/>
      <c r="L22" s="17" t="n"/>
      <c r="M22" s="25">
        <f>IF(OR($E22="",$G22=""),"","WO"&amp;$E22&amp;"OP"&amp;SUBSTITUTE(SUBSTITUTE(TRIM($G22)," ",""),",",",OP"))</f>
        <v/>
      </c>
      <c r="N22" s="18" t="n"/>
      <c r="O22" s="26">
        <f>IF(OR($J22="",$N22=""),"",$J22-$N22)</f>
        <v/>
      </c>
      <c r="P22" s="17" t="n"/>
      <c r="Q22" s="16" t="n"/>
    </row>
    <row r="23" ht="28" customHeight="1">
      <c r="A23" t="inlineStr">
        <is>
          <t>Labor</t>
        </is>
      </c>
      <c r="B23" s="16" t="n"/>
      <c r="C23" s="17" t="n"/>
      <c r="D23" s="17" t="n"/>
      <c r="E23" s="18" t="n"/>
      <c r="F23" s="19">
        <f>IFERROR(IF($E23="","",VLOOKUP($E23,WOTable,2,FALSE)),"?")</f>
        <v/>
      </c>
      <c r="G23" s="17" t="n"/>
      <c r="H23" s="18" t="n"/>
      <c r="I23" s="18" t="n"/>
      <c r="J23" s="20">
        <f>IF(AND($H23="",$I23=""),"",N($H23)+N($I23))</f>
        <v/>
      </c>
      <c r="K23" s="16" t="n"/>
      <c r="L23" s="17" t="n"/>
      <c r="M23" s="21">
        <f>IF(OR($E23="",$G23=""),"","WO"&amp;$E23&amp;"OP"&amp;SUBSTITUTE(SUBSTITUTE(TRIM($G23)," ",""),",",",OP"))</f>
        <v/>
      </c>
      <c r="N23" s="18" t="n"/>
      <c r="O23" s="22">
        <f>IF(OR($J23="",$N23=""),"",$J23-$N23)</f>
        <v/>
      </c>
      <c r="P23" s="17" t="n"/>
      <c r="Q23" s="16" t="n"/>
    </row>
    <row r="24" ht="28" customHeight="1">
      <c r="A24" t="inlineStr">
        <is>
          <t>Labor</t>
        </is>
      </c>
      <c r="B24" s="16" t="n"/>
      <c r="C24" s="17" t="n"/>
      <c r="D24" s="17" t="n"/>
      <c r="E24" s="18" t="n"/>
      <c r="F24" s="23">
        <f>IFERROR(IF($E24="","",VLOOKUP($E24,WOTable,2,FALSE)),"?")</f>
        <v/>
      </c>
      <c r="G24" s="17" t="n"/>
      <c r="H24" s="18" t="n"/>
      <c r="I24" s="18" t="n"/>
      <c r="J24" s="24">
        <f>IF(AND($H24="",$I24=""),"",N($H24)+N($I24))</f>
        <v/>
      </c>
      <c r="K24" s="16" t="n"/>
      <c r="L24" s="17" t="n"/>
      <c r="M24" s="25">
        <f>IF(OR($E24="",$G24=""),"","WO"&amp;$E24&amp;"OP"&amp;SUBSTITUTE(SUBSTITUTE(TRIM($G24)," ",""),",",",OP"))</f>
        <v/>
      </c>
      <c r="N24" s="18" t="n"/>
      <c r="O24" s="26">
        <f>IF(OR($J24="",$N24=""),"",$J24-$N24)</f>
        <v/>
      </c>
      <c r="P24" s="17" t="n"/>
      <c r="Q24" s="16" t="n"/>
    </row>
    <row r="25" ht="28" customHeight="1">
      <c r="A25" t="inlineStr">
        <is>
          <t>Labor</t>
        </is>
      </c>
      <c r="B25" s="16" t="n"/>
      <c r="C25" s="17" t="n"/>
      <c r="D25" s="17" t="n"/>
      <c r="E25" s="18" t="n"/>
      <c r="F25" s="19">
        <f>IFERROR(IF($E25="","",VLOOKUP($E25,WOTable,2,FALSE)),"?")</f>
        <v/>
      </c>
      <c r="G25" s="17" t="n"/>
      <c r="H25" s="18" t="n"/>
      <c r="I25" s="18" t="n"/>
      <c r="J25" s="20">
        <f>IF(AND($H25="",$I25=""),"",N($H25)+N($I25))</f>
        <v/>
      </c>
      <c r="K25" s="16" t="n"/>
      <c r="L25" s="17" t="n"/>
      <c r="M25" s="21">
        <f>IF(OR($E25="",$G25=""),"","WO"&amp;$E25&amp;"OP"&amp;SUBSTITUTE(SUBSTITUTE(TRIM($G25)," ",""),",",",OP"))</f>
        <v/>
      </c>
      <c r="N25" s="18" t="n"/>
      <c r="O25" s="22">
        <f>IF(OR($J25="",$N25=""),"",$J25-$N25)</f>
        <v/>
      </c>
      <c r="P25" s="17" t="n"/>
      <c r="Q25" s="16" t="n"/>
    </row>
    <row r="26" ht="28" customHeight="1">
      <c r="A26" t="inlineStr">
        <is>
          <t>Labor</t>
        </is>
      </c>
      <c r="B26" s="16" t="n"/>
      <c r="C26" s="17" t="n"/>
      <c r="D26" s="17" t="n"/>
      <c r="E26" s="18" t="n"/>
      <c r="F26" s="23">
        <f>IFERROR(IF($E26="","",VLOOKUP($E26,WOTable,2,FALSE)),"?")</f>
        <v/>
      </c>
      <c r="G26" s="17" t="n"/>
      <c r="H26" s="18" t="n"/>
      <c r="I26" s="18" t="n"/>
      <c r="J26" s="24">
        <f>IF(AND($H26="",$I26=""),"",N($H26)+N($I26))</f>
        <v/>
      </c>
      <c r="K26" s="16" t="n"/>
      <c r="L26" s="17" t="n"/>
      <c r="M26" s="25">
        <f>IF(OR($E26="",$G26=""),"","WO"&amp;$E26&amp;"OP"&amp;SUBSTITUTE(SUBSTITUTE(TRIM($G26)," ",""),",",",OP"))</f>
        <v/>
      </c>
      <c r="N26" s="18" t="n"/>
      <c r="O26" s="26">
        <f>IF(OR($J26="",$N26=""),"",$J26-$N26)</f>
        <v/>
      </c>
      <c r="P26" s="17" t="n"/>
      <c r="Q26" s="16" t="n"/>
    </row>
    <row r="27" ht="28" customHeight="1">
      <c r="A27" t="inlineStr">
        <is>
          <t>Labor</t>
        </is>
      </c>
      <c r="B27" s="16" t="n"/>
      <c r="C27" s="17" t="n"/>
      <c r="D27" s="17" t="n"/>
      <c r="E27" s="18" t="n"/>
      <c r="F27" s="19">
        <f>IFERROR(IF($E27="","",VLOOKUP($E27,WOTable,2,FALSE)),"?")</f>
        <v/>
      </c>
      <c r="G27" s="17" t="n"/>
      <c r="H27" s="18" t="n"/>
      <c r="I27" s="18" t="n"/>
      <c r="J27" s="20">
        <f>IF(AND($H27="",$I27=""),"",N($H27)+N($I27))</f>
        <v/>
      </c>
      <c r="K27" s="16" t="n"/>
      <c r="L27" s="17" t="n"/>
      <c r="M27" s="21">
        <f>IF(OR($E27="",$G27=""),"","WO"&amp;$E27&amp;"OP"&amp;SUBSTITUTE(SUBSTITUTE(TRIM($G27)," ",""),",",",OP"))</f>
        <v/>
      </c>
      <c r="N27" s="18" t="n"/>
      <c r="O27" s="22">
        <f>IF(OR($J27="",$N27=""),"",$J27-$N27)</f>
        <v/>
      </c>
      <c r="P27" s="17" t="n"/>
      <c r="Q27" s="16" t="n"/>
    </row>
    <row r="28" ht="28" customHeight="1">
      <c r="A28" t="inlineStr">
        <is>
          <t>Labor</t>
        </is>
      </c>
      <c r="B28" s="16" t="n"/>
      <c r="C28" s="17" t="n"/>
      <c r="D28" s="17" t="n"/>
      <c r="E28" s="18" t="n"/>
      <c r="F28" s="23">
        <f>IFERROR(IF($E28="","",VLOOKUP($E28,WOTable,2,FALSE)),"?")</f>
        <v/>
      </c>
      <c r="G28" s="17" t="n"/>
      <c r="H28" s="18" t="n"/>
      <c r="I28" s="18" t="n"/>
      <c r="J28" s="24">
        <f>IF(AND($H28="",$I28=""),"",N($H28)+N($I28))</f>
        <v/>
      </c>
      <c r="K28" s="16" t="n"/>
      <c r="L28" s="17" t="n"/>
      <c r="M28" s="25">
        <f>IF(OR($E28="",$G28=""),"","WO"&amp;$E28&amp;"OP"&amp;SUBSTITUTE(SUBSTITUTE(TRIM($G28)," ",""),",",",OP"))</f>
        <v/>
      </c>
      <c r="N28" s="18" t="n"/>
      <c r="O28" s="26">
        <f>IF(OR($J28="",$N28=""),"",$J28-$N28)</f>
        <v/>
      </c>
      <c r="P28" s="17" t="n"/>
      <c r="Q28" s="16" t="n"/>
    </row>
    <row r="29" ht="28" customHeight="1">
      <c r="A29" t="inlineStr">
        <is>
          <t>Labor</t>
        </is>
      </c>
      <c r="B29" s="16" t="n"/>
      <c r="C29" s="17" t="n"/>
      <c r="D29" s="17" t="n"/>
      <c r="E29" s="18" t="n"/>
      <c r="F29" s="19">
        <f>IFERROR(IF($E29="","",VLOOKUP($E29,WOTable,2,FALSE)),"?")</f>
        <v/>
      </c>
      <c r="G29" s="17" t="n"/>
      <c r="H29" s="18" t="n"/>
      <c r="I29" s="18" t="n"/>
      <c r="J29" s="20">
        <f>IF(AND($H29="",$I29=""),"",N($H29)+N($I29))</f>
        <v/>
      </c>
      <c r="K29" s="16" t="n"/>
      <c r="L29" s="17" t="n"/>
      <c r="M29" s="21">
        <f>IF(OR($E29="",$G29=""),"","WO"&amp;$E29&amp;"OP"&amp;SUBSTITUTE(SUBSTITUTE(TRIM($G29)," ",""),",",",OP"))</f>
        <v/>
      </c>
      <c r="N29" s="18" t="n"/>
      <c r="O29" s="22">
        <f>IF(OR($J29="",$N29=""),"",$J29-$N29)</f>
        <v/>
      </c>
      <c r="P29" s="17" t="n"/>
      <c r="Q29" s="16" t="n"/>
    </row>
    <row r="30" ht="28" customHeight="1">
      <c r="A30" t="inlineStr">
        <is>
          <t>Labor</t>
        </is>
      </c>
      <c r="B30" s="16" t="n"/>
      <c r="C30" s="17" t="n"/>
      <c r="D30" s="17" t="n"/>
      <c r="E30" s="18" t="n"/>
      <c r="F30" s="23">
        <f>IFERROR(IF($E30="","",VLOOKUP($E30,WOTable,2,FALSE)),"?")</f>
        <v/>
      </c>
      <c r="G30" s="17" t="n"/>
      <c r="H30" s="18" t="n"/>
      <c r="I30" s="18" t="n"/>
      <c r="J30" s="24">
        <f>IF(AND($H30="",$I30=""),"",N($H30)+N($I30))</f>
        <v/>
      </c>
      <c r="K30" s="16" t="n"/>
      <c r="L30" s="17" t="n"/>
      <c r="M30" s="25">
        <f>IF(OR($E30="",$G30=""),"","WO"&amp;$E30&amp;"OP"&amp;SUBSTITUTE(SUBSTITUTE(TRIM($G30)," ",""),",",",OP"))</f>
        <v/>
      </c>
      <c r="N30" s="18" t="n"/>
      <c r="O30" s="26">
        <f>IF(OR($J30="",$N30=""),"",$J30-$N30)</f>
        <v/>
      </c>
      <c r="P30" s="17" t="n"/>
      <c r="Q30" s="16" t="n"/>
    </row>
    <row r="31" ht="28" customHeight="1">
      <c r="A31" t="inlineStr">
        <is>
          <t>Labor</t>
        </is>
      </c>
      <c r="B31" s="16" t="n"/>
      <c r="C31" s="17" t="n"/>
      <c r="D31" s="17" t="n"/>
      <c r="E31" s="18" t="n"/>
      <c r="F31" s="19">
        <f>IFERROR(IF($E31="","",VLOOKUP($E31,WOTable,2,FALSE)),"?")</f>
        <v/>
      </c>
      <c r="G31" s="17" t="n"/>
      <c r="H31" s="18" t="n"/>
      <c r="I31" s="18" t="n"/>
      <c r="J31" s="20">
        <f>IF(AND($H31="",$I31=""),"",N($H31)+N($I31))</f>
        <v/>
      </c>
      <c r="K31" s="16" t="n"/>
      <c r="L31" s="17" t="n"/>
      <c r="M31" s="21">
        <f>IF(OR($E31="",$G31=""),"","WO"&amp;$E31&amp;"OP"&amp;SUBSTITUTE(SUBSTITUTE(TRIM($G31)," ",""),",",",OP"))</f>
        <v/>
      </c>
      <c r="N31" s="18" t="n"/>
      <c r="O31" s="22">
        <f>IF(OR($J31="",$N31=""),"",$J31-$N31)</f>
        <v/>
      </c>
      <c r="P31" s="17" t="n"/>
      <c r="Q31" s="16" t="n"/>
    </row>
    <row r="32" ht="28" customHeight="1">
      <c r="A32" t="inlineStr">
        <is>
          <t>Labor</t>
        </is>
      </c>
      <c r="B32" s="16" t="n"/>
      <c r="C32" s="17" t="n"/>
      <c r="D32" s="17" t="n"/>
      <c r="E32" s="18" t="n"/>
      <c r="F32" s="23">
        <f>IFERROR(IF($E32="","",VLOOKUP($E32,WOTable,2,FALSE)),"?")</f>
        <v/>
      </c>
      <c r="G32" s="17" t="n"/>
      <c r="H32" s="18" t="n"/>
      <c r="I32" s="18" t="n"/>
      <c r="J32" s="24">
        <f>IF(AND($H32="",$I32=""),"",N($H32)+N($I32))</f>
        <v/>
      </c>
      <c r="K32" s="16" t="n"/>
      <c r="L32" s="17" t="n"/>
      <c r="M32" s="25">
        <f>IF(OR($E32="",$G32=""),"","WO"&amp;$E32&amp;"OP"&amp;SUBSTITUTE(SUBSTITUTE(TRIM($G32)," ",""),",",",OP"))</f>
        <v/>
      </c>
      <c r="N32" s="18" t="n"/>
      <c r="O32" s="26">
        <f>IF(OR($J32="",$N32=""),"",$J32-$N32)</f>
        <v/>
      </c>
      <c r="P32" s="17" t="n"/>
      <c r="Q32" s="16" t="n"/>
    </row>
    <row r="33" ht="28" customHeight="1">
      <c r="A33" t="inlineStr">
        <is>
          <t>Labor</t>
        </is>
      </c>
      <c r="B33" s="16" t="n"/>
      <c r="C33" s="17" t="n"/>
      <c r="D33" s="17" t="n"/>
      <c r="E33" s="18" t="n"/>
      <c r="F33" s="19">
        <f>IFERROR(IF($E33="","",VLOOKUP($E33,WOTable,2,FALSE)),"?")</f>
        <v/>
      </c>
      <c r="G33" s="17" t="n"/>
      <c r="H33" s="18" t="n"/>
      <c r="I33" s="18" t="n"/>
      <c r="J33" s="20">
        <f>IF(AND($H33="",$I33=""),"",N($H33)+N($I33))</f>
        <v/>
      </c>
      <c r="K33" s="16" t="n"/>
      <c r="L33" s="17" t="n"/>
      <c r="M33" s="21">
        <f>IF(OR($E33="",$G33=""),"","WO"&amp;$E33&amp;"OP"&amp;SUBSTITUTE(SUBSTITUTE(TRIM($G33)," ",""),",",",OP"))</f>
        <v/>
      </c>
      <c r="N33" s="18" t="n"/>
      <c r="O33" s="22">
        <f>IF(OR($J33="",$N33=""),"",$J33-$N33)</f>
        <v/>
      </c>
      <c r="P33" s="17" t="n"/>
      <c r="Q33" s="16" t="n"/>
    </row>
    <row r="34" ht="28" customHeight="1">
      <c r="A34" t="inlineStr">
        <is>
          <t>Labor</t>
        </is>
      </c>
      <c r="B34" s="16" t="n"/>
      <c r="C34" s="17" t="n"/>
      <c r="D34" s="17" t="n"/>
      <c r="E34" s="18" t="n"/>
      <c r="F34" s="23">
        <f>IFERROR(IF($E34="","",VLOOKUP($E34,WOTable,2,FALSE)),"?")</f>
        <v/>
      </c>
      <c r="G34" s="17" t="n"/>
      <c r="H34" s="18" t="n"/>
      <c r="I34" s="18" t="n"/>
      <c r="J34" s="24">
        <f>IF(AND($H34="",$I34=""),"",N($H34)+N($I34))</f>
        <v/>
      </c>
      <c r="K34" s="16" t="n"/>
      <c r="L34" s="17" t="n"/>
      <c r="M34" s="25">
        <f>IF(OR($E34="",$G34=""),"","WO"&amp;$E34&amp;"OP"&amp;SUBSTITUTE(SUBSTITUTE(TRIM($G34)," ",""),",",",OP"))</f>
        <v/>
      </c>
      <c r="N34" s="18" t="n"/>
      <c r="O34" s="26">
        <f>IF(OR($J34="",$N34=""),"",$J34-$N34)</f>
        <v/>
      </c>
      <c r="P34" s="17" t="n"/>
      <c r="Q34" s="16" t="n"/>
    </row>
    <row r="35" ht="28" customHeight="1">
      <c r="A35" t="inlineStr">
        <is>
          <t>Labor</t>
        </is>
      </c>
      <c r="B35" s="16" t="n"/>
      <c r="C35" s="17" t="n"/>
      <c r="D35" s="17" t="n"/>
      <c r="E35" s="18" t="n"/>
      <c r="F35" s="19">
        <f>IFERROR(IF($E35="","",VLOOKUP($E35,WOTable,2,FALSE)),"?")</f>
        <v/>
      </c>
      <c r="G35" s="17" t="n"/>
      <c r="H35" s="18" t="n"/>
      <c r="I35" s="18" t="n"/>
      <c r="J35" s="20">
        <f>IF(AND($H35="",$I35=""),"",N($H35)+N($I35))</f>
        <v/>
      </c>
      <c r="K35" s="16" t="n"/>
      <c r="L35" s="17" t="n"/>
      <c r="M35" s="21">
        <f>IF(OR($E35="",$G35=""),"","WO"&amp;$E35&amp;"OP"&amp;SUBSTITUTE(SUBSTITUTE(TRIM($G35)," ",""),",",",OP"))</f>
        <v/>
      </c>
      <c r="N35" s="18" t="n"/>
      <c r="O35" s="22">
        <f>IF(OR($J35="",$N35=""),"",$J35-$N35)</f>
        <v/>
      </c>
      <c r="P35" s="17" t="n"/>
      <c r="Q35" s="16" t="n"/>
    </row>
    <row r="36" ht="28" customHeight="1">
      <c r="A36" t="inlineStr">
        <is>
          <t>Labor</t>
        </is>
      </c>
      <c r="B36" s="16" t="n"/>
      <c r="C36" s="17" t="n"/>
      <c r="D36" s="17" t="n"/>
      <c r="E36" s="18" t="n"/>
      <c r="F36" s="23">
        <f>IFERROR(IF($E36="","",VLOOKUP($E36,WOTable,2,FALSE)),"?")</f>
        <v/>
      </c>
      <c r="G36" s="17" t="n"/>
      <c r="H36" s="18" t="n"/>
      <c r="I36" s="18" t="n"/>
      <c r="J36" s="24">
        <f>IF(AND($H36="",$I36=""),"",N($H36)+N($I36))</f>
        <v/>
      </c>
      <c r="K36" s="16" t="n"/>
      <c r="L36" s="17" t="n"/>
      <c r="M36" s="25">
        <f>IF(OR($E36="",$G36=""),"","WO"&amp;$E36&amp;"OP"&amp;SUBSTITUTE(SUBSTITUTE(TRIM($G36)," ",""),",",",OP"))</f>
        <v/>
      </c>
      <c r="N36" s="18" t="n"/>
      <c r="O36" s="26">
        <f>IF(OR($J36="",$N36=""),"",$J36-$N36)</f>
        <v/>
      </c>
      <c r="P36" s="17" t="n"/>
      <c r="Q36" s="16" t="n"/>
    </row>
    <row r="37" ht="28" customHeight="1">
      <c r="A37" t="inlineStr">
        <is>
          <t>Labor</t>
        </is>
      </c>
      <c r="B37" s="16" t="n"/>
      <c r="C37" s="17" t="n"/>
      <c r="D37" s="17" t="n"/>
      <c r="E37" s="18" t="n"/>
      <c r="F37" s="19">
        <f>IFERROR(IF($E37="","",VLOOKUP($E37,WOTable,2,FALSE)),"?")</f>
        <v/>
      </c>
      <c r="G37" s="17" t="n"/>
      <c r="H37" s="18" t="n"/>
      <c r="I37" s="18" t="n"/>
      <c r="J37" s="20">
        <f>IF(AND($H37="",$I37=""),"",N($H37)+N($I37))</f>
        <v/>
      </c>
      <c r="K37" s="16" t="n"/>
      <c r="L37" s="17" t="n"/>
      <c r="M37" s="21">
        <f>IF(OR($E37="",$G37=""),"","WO"&amp;$E37&amp;"OP"&amp;SUBSTITUTE(SUBSTITUTE(TRIM($G37)," ",""),",",",OP"))</f>
        <v/>
      </c>
      <c r="N37" s="18" t="n"/>
      <c r="O37" s="22">
        <f>IF(OR($J37="",$N37=""),"",$J37-$N37)</f>
        <v/>
      </c>
      <c r="P37" s="17" t="n"/>
      <c r="Q37" s="16" t="n"/>
    </row>
    <row r="38" ht="28" customHeight="1">
      <c r="A38" t="inlineStr">
        <is>
          <t>Labor</t>
        </is>
      </c>
      <c r="B38" s="16" t="n"/>
      <c r="C38" s="17" t="n"/>
      <c r="D38" s="17" t="n"/>
      <c r="E38" s="18" t="n"/>
      <c r="F38" s="23">
        <f>IFERROR(IF($E38="","",VLOOKUP($E38,WOTable,2,FALSE)),"?")</f>
        <v/>
      </c>
      <c r="G38" s="17" t="n"/>
      <c r="H38" s="18" t="n"/>
      <c r="I38" s="18" t="n"/>
      <c r="J38" s="24">
        <f>IF(AND($H38="",$I38=""),"",N($H38)+N($I38))</f>
        <v/>
      </c>
      <c r="K38" s="16" t="n"/>
      <c r="L38" s="17" t="n"/>
      <c r="M38" s="25">
        <f>IF(OR($E38="",$G38=""),"","WO"&amp;$E38&amp;"OP"&amp;SUBSTITUTE(SUBSTITUTE(TRIM($G38)," ",""),",",",OP"))</f>
        <v/>
      </c>
      <c r="N38" s="18" t="n"/>
      <c r="O38" s="26">
        <f>IF(OR($J38="",$N38=""),"",$J38-$N38)</f>
        <v/>
      </c>
      <c r="P38" s="17" t="n"/>
      <c r="Q38" s="16" t="n"/>
    </row>
    <row r="39" ht="28" customHeight="1">
      <c r="A39" t="inlineStr">
        <is>
          <t>Labor</t>
        </is>
      </c>
      <c r="B39" s="16" t="n"/>
      <c r="C39" s="17" t="n"/>
      <c r="D39" s="17" t="n"/>
      <c r="E39" s="18" t="n"/>
      <c r="F39" s="19">
        <f>IFERROR(IF($E39="","",VLOOKUP($E39,WOTable,2,FALSE)),"?")</f>
        <v/>
      </c>
      <c r="G39" s="17" t="n"/>
      <c r="H39" s="18" t="n"/>
      <c r="I39" s="18" t="n"/>
      <c r="J39" s="20">
        <f>IF(AND($H39="",$I39=""),"",N($H39)+N($I39))</f>
        <v/>
      </c>
      <c r="K39" s="16" t="n"/>
      <c r="L39" s="17" t="n"/>
      <c r="M39" s="21">
        <f>IF(OR($E39="",$G39=""),"","WO"&amp;$E39&amp;"OP"&amp;SUBSTITUTE(SUBSTITUTE(TRIM($G39)," ",""),",",",OP"))</f>
        <v/>
      </c>
      <c r="N39" s="18" t="n"/>
      <c r="O39" s="22">
        <f>IF(OR($J39="",$N39=""),"",$J39-$N39)</f>
        <v/>
      </c>
      <c r="P39" s="17" t="n"/>
      <c r="Q39" s="16" t="n"/>
    </row>
    <row r="40" ht="28" customHeight="1">
      <c r="A40" t="inlineStr">
        <is>
          <t>Labor</t>
        </is>
      </c>
      <c r="B40" s="16" t="n"/>
      <c r="C40" s="17" t="n"/>
      <c r="D40" s="17" t="n"/>
      <c r="E40" s="18" t="n"/>
      <c r="F40" s="23">
        <f>IFERROR(IF($E40="","",VLOOKUP($E40,WOTable,2,FALSE)),"?")</f>
        <v/>
      </c>
      <c r="G40" s="17" t="n"/>
      <c r="H40" s="18" t="n"/>
      <c r="I40" s="18" t="n"/>
      <c r="J40" s="24">
        <f>IF(AND($H40="",$I40=""),"",N($H40)+N($I40))</f>
        <v/>
      </c>
      <c r="K40" s="16" t="n"/>
      <c r="L40" s="17" t="n"/>
      <c r="M40" s="25">
        <f>IF(OR($E40="",$G40=""),"","WO"&amp;$E40&amp;"OP"&amp;SUBSTITUTE(SUBSTITUTE(TRIM($G40)," ",""),",",",OP"))</f>
        <v/>
      </c>
      <c r="N40" s="18" t="n"/>
      <c r="O40" s="26">
        <f>IF(OR($J40="",$N40=""),"",$J40-$N40)</f>
        <v/>
      </c>
      <c r="P40" s="17" t="n"/>
      <c r="Q40" s="16" t="n"/>
    </row>
    <row r="41" ht="28" customHeight="1">
      <c r="A41" t="inlineStr">
        <is>
          <t>Labor</t>
        </is>
      </c>
      <c r="B41" s="16" t="n"/>
      <c r="C41" s="17" t="n"/>
      <c r="D41" s="17" t="n"/>
      <c r="E41" s="18" t="n"/>
      <c r="F41" s="19">
        <f>IFERROR(IF($E41="","",VLOOKUP($E41,WOTable,2,FALSE)),"?")</f>
        <v/>
      </c>
      <c r="G41" s="17" t="n"/>
      <c r="H41" s="18" t="n"/>
      <c r="I41" s="18" t="n"/>
      <c r="J41" s="20">
        <f>IF(AND($H41="",$I41=""),"",N($H41)+N($I41))</f>
        <v/>
      </c>
      <c r="K41" s="16" t="n"/>
      <c r="L41" s="17" t="n"/>
      <c r="M41" s="21">
        <f>IF(OR($E41="",$G41=""),"","WO"&amp;$E41&amp;"OP"&amp;SUBSTITUTE(SUBSTITUTE(TRIM($G41)," ",""),",",",OP"))</f>
        <v/>
      </c>
      <c r="N41" s="18" t="n"/>
      <c r="O41" s="22">
        <f>IF(OR($J41="",$N41=""),"",$J41-$N41)</f>
        <v/>
      </c>
      <c r="P41" s="17" t="n"/>
      <c r="Q41" s="16" t="n"/>
    </row>
    <row r="42" ht="28" customHeight="1">
      <c r="A42" t="inlineStr">
        <is>
          <t>Labor</t>
        </is>
      </c>
      <c r="B42" s="16" t="n"/>
      <c r="C42" s="17" t="n"/>
      <c r="D42" s="17" t="n"/>
      <c r="E42" s="18" t="n"/>
      <c r="F42" s="23">
        <f>IFERROR(IF($E42="","",VLOOKUP($E42,WOTable,2,FALSE)),"?")</f>
        <v/>
      </c>
      <c r="G42" s="17" t="n"/>
      <c r="H42" s="18" t="n"/>
      <c r="I42" s="18" t="n"/>
      <c r="J42" s="24">
        <f>IF(AND($H42="",$I42=""),"",N($H42)+N($I42))</f>
        <v/>
      </c>
      <c r="K42" s="16" t="n"/>
      <c r="L42" s="17" t="n"/>
      <c r="M42" s="25">
        <f>IF(OR($E42="",$G42=""),"","WO"&amp;$E42&amp;"OP"&amp;SUBSTITUTE(SUBSTITUTE(TRIM($G42)," ",""),",",",OP"))</f>
        <v/>
      </c>
      <c r="N42" s="18" t="n"/>
      <c r="O42" s="26">
        <f>IF(OR($J42="",$N42=""),"",$J42-$N42)</f>
        <v/>
      </c>
      <c r="P42" s="17" t="n"/>
      <c r="Q42" s="16" t="n"/>
    </row>
    <row r="43" ht="28" customHeight="1">
      <c r="A43" t="inlineStr">
        <is>
          <t>Labor</t>
        </is>
      </c>
      <c r="B43" s="16" t="n"/>
      <c r="C43" s="17" t="n"/>
      <c r="D43" s="17" t="n"/>
      <c r="E43" s="18" t="n"/>
      <c r="F43" s="19">
        <f>IFERROR(IF($E43="","",VLOOKUP($E43,WOTable,2,FALSE)),"?")</f>
        <v/>
      </c>
      <c r="G43" s="17" t="n"/>
      <c r="H43" s="18" t="n"/>
      <c r="I43" s="18" t="n"/>
      <c r="J43" s="20">
        <f>IF(AND($H43="",$I43=""),"",N($H43)+N($I43))</f>
        <v/>
      </c>
      <c r="K43" s="16" t="n"/>
      <c r="L43" s="17" t="n"/>
      <c r="M43" s="21">
        <f>IF(OR($E43="",$G43=""),"","WO"&amp;$E43&amp;"OP"&amp;SUBSTITUTE(SUBSTITUTE(TRIM($G43)," ",""),",",",OP"))</f>
        <v/>
      </c>
      <c r="N43" s="18" t="n"/>
      <c r="O43" s="22">
        <f>IF(OR($J43="",$N43=""),"",$J43-$N43)</f>
        <v/>
      </c>
      <c r="P43" s="17" t="n"/>
      <c r="Q43" s="16" t="n"/>
    </row>
    <row r="44" ht="28" customHeight="1">
      <c r="A44" t="inlineStr">
        <is>
          <t>Labor</t>
        </is>
      </c>
      <c r="B44" s="16" t="n"/>
      <c r="C44" s="17" t="n"/>
      <c r="D44" s="17" t="n"/>
      <c r="E44" s="18" t="n"/>
      <c r="F44" s="23">
        <f>IFERROR(IF($E44="","",VLOOKUP($E44,WOTable,2,FALSE)),"?")</f>
        <v/>
      </c>
      <c r="G44" s="17" t="n"/>
      <c r="H44" s="18" t="n"/>
      <c r="I44" s="18" t="n"/>
      <c r="J44" s="24">
        <f>IF(AND($H44="",$I44=""),"",N($H44)+N($I44))</f>
        <v/>
      </c>
      <c r="K44" s="16" t="n"/>
      <c r="L44" s="17" t="n"/>
      <c r="M44" s="25">
        <f>IF(OR($E44="",$G44=""),"","WO"&amp;$E44&amp;"OP"&amp;SUBSTITUTE(SUBSTITUTE(TRIM($G44)," ",""),",",",OP"))</f>
        <v/>
      </c>
      <c r="N44" s="18" t="n"/>
      <c r="O44" s="26">
        <f>IF(OR($J44="",$N44=""),"",$J44-$N44)</f>
        <v/>
      </c>
      <c r="P44" s="17" t="n"/>
      <c r="Q44" s="16" t="n"/>
    </row>
    <row r="45" ht="28" customHeight="1">
      <c r="A45" t="inlineStr">
        <is>
          <t>Labor</t>
        </is>
      </c>
      <c r="B45" s="16" t="n"/>
      <c r="C45" s="17" t="n"/>
      <c r="D45" s="17" t="n"/>
      <c r="E45" s="18" t="n"/>
      <c r="F45" s="19">
        <f>IFERROR(IF($E45="","",VLOOKUP($E45,WOTable,2,FALSE)),"?")</f>
        <v/>
      </c>
      <c r="G45" s="17" t="n"/>
      <c r="H45" s="18" t="n"/>
      <c r="I45" s="18" t="n"/>
      <c r="J45" s="20">
        <f>IF(AND($H45="",$I45=""),"",N($H45)+N($I45))</f>
        <v/>
      </c>
      <c r="K45" s="16" t="n"/>
      <c r="L45" s="17" t="n"/>
      <c r="M45" s="21">
        <f>IF(OR($E45="",$G45=""),"","WO"&amp;$E45&amp;"OP"&amp;SUBSTITUTE(SUBSTITUTE(TRIM($G45)," ",""),",",",OP"))</f>
        <v/>
      </c>
      <c r="N45" s="18" t="n"/>
      <c r="O45" s="22">
        <f>IF(OR($J45="",$N45=""),"",$J45-$N45)</f>
        <v/>
      </c>
      <c r="P45" s="17" t="n"/>
      <c r="Q45" s="16" t="n"/>
    </row>
    <row r="46" ht="28" customHeight="1">
      <c r="A46" t="inlineStr">
        <is>
          <t>Labor</t>
        </is>
      </c>
      <c r="B46" s="16" t="n"/>
      <c r="C46" s="17" t="n"/>
      <c r="D46" s="17" t="n"/>
      <c r="E46" s="18" t="n"/>
      <c r="F46" s="23">
        <f>IFERROR(IF($E46="","",VLOOKUP($E46,WOTable,2,FALSE)),"?")</f>
        <v/>
      </c>
      <c r="G46" s="17" t="n"/>
      <c r="H46" s="18" t="n"/>
      <c r="I46" s="18" t="n"/>
      <c r="J46" s="24">
        <f>IF(AND($H46="",$I46=""),"",N($H46)+N($I46))</f>
        <v/>
      </c>
      <c r="K46" s="16" t="n"/>
      <c r="L46" s="17" t="n"/>
      <c r="M46" s="25">
        <f>IF(OR($E46="",$G46=""),"","WO"&amp;$E46&amp;"OP"&amp;SUBSTITUTE(SUBSTITUTE(TRIM($G46)," ",""),",",",OP"))</f>
        <v/>
      </c>
      <c r="N46" s="18" t="n"/>
      <c r="O46" s="26">
        <f>IF(OR($J46="",$N46=""),"",$J46-$N46)</f>
        <v/>
      </c>
      <c r="P46" s="17" t="n"/>
      <c r="Q46" s="16" t="n"/>
    </row>
    <row r="47" ht="28" customHeight="1">
      <c r="A47" t="inlineStr">
        <is>
          <t>Labor</t>
        </is>
      </c>
      <c r="B47" s="16" t="n"/>
      <c r="C47" s="17" t="n"/>
      <c r="D47" s="17" t="n"/>
      <c r="E47" s="18" t="n"/>
      <c r="F47" s="19">
        <f>IFERROR(IF($E47="","",VLOOKUP($E47,WOTable,2,FALSE)),"?")</f>
        <v/>
      </c>
      <c r="G47" s="17" t="n"/>
      <c r="H47" s="18" t="n"/>
      <c r="I47" s="18" t="n"/>
      <c r="J47" s="20">
        <f>IF(AND($H47="",$I47=""),"",N($H47)+N($I47))</f>
        <v/>
      </c>
      <c r="K47" s="16" t="n"/>
      <c r="L47" s="17" t="n"/>
      <c r="M47" s="21">
        <f>IF(OR($E47="",$G47=""),"","WO"&amp;$E47&amp;"OP"&amp;SUBSTITUTE(SUBSTITUTE(TRIM($G47)," ",""),",",",OP"))</f>
        <v/>
      </c>
      <c r="N47" s="18" t="n"/>
      <c r="O47" s="22">
        <f>IF(OR($J47="",$N47=""),"",$J47-$N47)</f>
        <v/>
      </c>
      <c r="P47" s="17" t="n"/>
      <c r="Q47" s="16" t="n"/>
    </row>
    <row r="48" ht="28" customHeight="1">
      <c r="A48" t="inlineStr">
        <is>
          <t>Labor</t>
        </is>
      </c>
      <c r="B48" s="16" t="n"/>
      <c r="C48" s="17" t="n"/>
      <c r="D48" s="17" t="n"/>
      <c r="E48" s="18" t="n"/>
      <c r="F48" s="23">
        <f>IFERROR(IF($E48="","",VLOOKUP($E48,WOTable,2,FALSE)),"?")</f>
        <v/>
      </c>
      <c r="G48" s="17" t="n"/>
      <c r="H48" s="18" t="n"/>
      <c r="I48" s="18" t="n"/>
      <c r="J48" s="24">
        <f>IF(AND($H48="",$I48=""),"",N($H48)+N($I48))</f>
        <v/>
      </c>
      <c r="K48" s="16" t="n"/>
      <c r="L48" s="17" t="n"/>
      <c r="M48" s="25">
        <f>IF(OR($E48="",$G48=""),"","WO"&amp;$E48&amp;"OP"&amp;SUBSTITUTE(SUBSTITUTE(TRIM($G48)," ",""),",",",OP"))</f>
        <v/>
      </c>
      <c r="N48" s="18" t="n"/>
      <c r="O48" s="26">
        <f>IF(OR($J48="",$N48=""),"",$J48-$N48)</f>
        <v/>
      </c>
      <c r="P48" s="17" t="n"/>
      <c r="Q48" s="16" t="n"/>
    </row>
    <row r="49" ht="28" customHeight="1">
      <c r="A49" t="inlineStr">
        <is>
          <t>Labor</t>
        </is>
      </c>
      <c r="B49" s="16" t="n"/>
      <c r="C49" s="17" t="n"/>
      <c r="D49" s="17" t="n"/>
      <c r="E49" s="18" t="n"/>
      <c r="F49" s="19">
        <f>IFERROR(IF($E49="","",VLOOKUP($E49,WOTable,2,FALSE)),"?")</f>
        <v/>
      </c>
      <c r="G49" s="17" t="n"/>
      <c r="H49" s="18" t="n"/>
      <c r="I49" s="18" t="n"/>
      <c r="J49" s="20">
        <f>IF(AND($H49="",$I49=""),"",N($H49)+N($I49))</f>
        <v/>
      </c>
      <c r="K49" s="16" t="n"/>
      <c r="L49" s="17" t="n"/>
      <c r="M49" s="21">
        <f>IF(OR($E49="",$G49=""),"","WO"&amp;$E49&amp;"OP"&amp;SUBSTITUTE(SUBSTITUTE(TRIM($G49)," ",""),",",",OP"))</f>
        <v/>
      </c>
      <c r="N49" s="18" t="n"/>
      <c r="O49" s="22">
        <f>IF(OR($J49="",$N49=""),"",$J49-$N49)</f>
        <v/>
      </c>
      <c r="P49" s="17" t="n"/>
      <c r="Q49" s="16" t="n"/>
    </row>
    <row r="50" ht="28" customHeight="1">
      <c r="A50" t="inlineStr">
        <is>
          <t>Labor</t>
        </is>
      </c>
      <c r="B50" s="16" t="n"/>
      <c r="C50" s="17" t="n"/>
      <c r="D50" s="17" t="n"/>
      <c r="E50" s="18" t="n"/>
      <c r="F50" s="23">
        <f>IFERROR(IF($E50="","",VLOOKUP($E50,WOTable,2,FALSE)),"?")</f>
        <v/>
      </c>
      <c r="G50" s="17" t="n"/>
      <c r="H50" s="18" t="n"/>
      <c r="I50" s="18" t="n"/>
      <c r="J50" s="24">
        <f>IF(AND($H50="",$I50=""),"",N($H50)+N($I50))</f>
        <v/>
      </c>
      <c r="K50" s="16" t="n"/>
      <c r="L50" s="17" t="n"/>
      <c r="M50" s="25">
        <f>IF(OR($E50="",$G50=""),"","WO"&amp;$E50&amp;"OP"&amp;SUBSTITUTE(SUBSTITUTE(TRIM($G50)," ",""),",",",OP"))</f>
        <v/>
      </c>
      <c r="N50" s="18" t="n"/>
      <c r="O50" s="26">
        <f>IF(OR($J50="",$N50=""),"",$J50-$N50)</f>
        <v/>
      </c>
      <c r="P50" s="17" t="n"/>
      <c r="Q50" s="16" t="n"/>
    </row>
    <row r="51" ht="28" customHeight="1">
      <c r="A51" t="inlineStr">
        <is>
          <t>Labor</t>
        </is>
      </c>
      <c r="B51" s="16" t="n"/>
      <c r="C51" s="17" t="n"/>
      <c r="D51" s="17" t="n"/>
      <c r="E51" s="18" t="n"/>
      <c r="F51" s="19">
        <f>IFERROR(IF($E51="","",VLOOKUP($E51,WOTable,2,FALSE)),"?")</f>
        <v/>
      </c>
      <c r="G51" s="17" t="n"/>
      <c r="H51" s="18" t="n"/>
      <c r="I51" s="18" t="n"/>
      <c r="J51" s="20">
        <f>IF(AND($H51="",$I51=""),"",N($H51)+N($I51))</f>
        <v/>
      </c>
      <c r="K51" s="16" t="n"/>
      <c r="L51" s="17" t="n"/>
      <c r="M51" s="21">
        <f>IF(OR($E51="",$G51=""),"","WO"&amp;$E51&amp;"OP"&amp;SUBSTITUTE(SUBSTITUTE(TRIM($G51)," ",""),",",",OP"))</f>
        <v/>
      </c>
      <c r="N51" s="18" t="n"/>
      <c r="O51" s="22">
        <f>IF(OR($J51="",$N51=""),"",$J51-$N51)</f>
        <v/>
      </c>
      <c r="P51" s="17" t="n"/>
      <c r="Q51" s="16" t="n"/>
    </row>
    <row r="52" ht="28" customHeight="1">
      <c r="A52" t="inlineStr">
        <is>
          <t>Labor</t>
        </is>
      </c>
      <c r="B52" s="16" t="n"/>
      <c r="C52" s="17" t="n"/>
      <c r="D52" s="17" t="n"/>
      <c r="E52" s="18" t="n"/>
      <c r="F52" s="23">
        <f>IFERROR(IF($E52="","",VLOOKUP($E52,WOTable,2,FALSE)),"?")</f>
        <v/>
      </c>
      <c r="G52" s="17" t="n"/>
      <c r="H52" s="18" t="n"/>
      <c r="I52" s="18" t="n"/>
      <c r="J52" s="24">
        <f>IF(AND($H52="",$I52=""),"",N($H52)+N($I52))</f>
        <v/>
      </c>
      <c r="K52" s="16" t="n"/>
      <c r="L52" s="17" t="n"/>
      <c r="M52" s="25">
        <f>IF(OR($E52="",$G52=""),"","WO"&amp;$E52&amp;"OP"&amp;SUBSTITUTE(SUBSTITUTE(TRIM($G52)," ",""),",",",OP"))</f>
        <v/>
      </c>
      <c r="N52" s="18" t="n"/>
      <c r="O52" s="26">
        <f>IF(OR($J52="",$N52=""),"",$J52-$N52)</f>
        <v/>
      </c>
      <c r="P52" s="17" t="n"/>
      <c r="Q52" s="16" t="n"/>
    </row>
    <row r="53" ht="22" customHeight="1">
      <c r="B53" s="27" t="inlineStr">
        <is>
          <t>DAILY TOTAL</t>
        </is>
      </c>
      <c r="H53" s="28">
        <f>SUM(H13:H52)</f>
        <v/>
      </c>
      <c r="I53" s="28">
        <f>SUM(I13:I52)</f>
        <v/>
      </c>
      <c r="J53" s="28">
        <f>SUM(J13:J52)</f>
        <v/>
      </c>
      <c r="K53" s="29" t="n"/>
      <c r="L53" s="29" t="n"/>
      <c r="N53" s="28">
        <f>SUM(N13:N52)</f>
        <v/>
      </c>
      <c r="O53" s="29" t="n"/>
      <c r="P53" s="29" t="n"/>
      <c r="Q53" s="29" t="n"/>
    </row>
    <row r="55">
      <c r="B55" s="30" t="inlineStr">
        <is>
          <t>Notes — work accomplished, issues, hold-ups</t>
        </is>
      </c>
    </row>
    <row r="56">
      <c r="B56" s="31" t="n"/>
    </row>
    <row r="57"/>
    <row r="58"/>
    <row r="59"/>
    <row r="61">
      <c r="B61" s="32" t="inlineStr">
        <is>
          <t>LEGEND:</t>
        </is>
      </c>
      <c r="C61" s="33" t="n"/>
      <c r="D61" s="34" t="inlineStr">
        <is>
          <t>You fill in</t>
        </is>
      </c>
      <c r="F61" s="35" t="n"/>
      <c r="G61" s="34" t="inlineStr">
        <is>
          <t>Auto / locked</t>
        </is>
      </c>
      <c r="I61" s="36" t="n"/>
      <c r="J61" s="34" t="inlineStr">
        <is>
          <t>Totals</t>
        </is>
      </c>
      <c r="L61" s="37" t="n"/>
      <c r="M61" s="34" t="inlineStr">
        <is>
          <t>Needs review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7">
    <mergeCell ref="D3:J3"/>
    <mergeCell ref="B6:E6"/>
    <mergeCell ref="K9:L9"/>
    <mergeCell ref="F6:G6"/>
    <mergeCell ref="B53:G53"/>
    <mergeCell ref="H7:J7"/>
    <mergeCell ref="F7:G7"/>
    <mergeCell ref="B5:Q5"/>
    <mergeCell ref="B11:L11"/>
    <mergeCell ref="P2:Q2"/>
    <mergeCell ref="B7:E7"/>
    <mergeCell ref="N11:Q11"/>
    <mergeCell ref="B8:C8"/>
    <mergeCell ref="F8:G8"/>
    <mergeCell ref="K8:L8"/>
    <mergeCell ref="H8:J8"/>
    <mergeCell ref="D2:J2"/>
    <mergeCell ref="B9:C9"/>
    <mergeCell ref="D9:E9"/>
    <mergeCell ref="F9:G9"/>
    <mergeCell ref="D8:E8"/>
    <mergeCell ref="P3:Q3"/>
    <mergeCell ref="K7:L7"/>
    <mergeCell ref="B56:L59"/>
    <mergeCell ref="H9:J9"/>
    <mergeCell ref="K6:L6"/>
    <mergeCell ref="H6:J6"/>
  </mergeCells>
  <conditionalFormatting sqref="E13:E52">
    <cfRule type="expression" priority="1" dxfId="0">
      <formula>AND($E13&lt;&gt;"",$F13="?")</formula>
    </cfRule>
  </conditionalFormatting>
  <conditionalFormatting sqref="B13:B52">
    <cfRule type="expression" priority="2" dxfId="0">
      <formula>AND($B13&lt;&gt;"",COUNTIF(EmpNames,$B13)=0)</formula>
    </cfRule>
  </conditionalFormatting>
  <conditionalFormatting sqref="C13:C52">
    <cfRule type="expression" priority="3" dxfId="0">
      <formula>AND($C13&lt;&gt;"",COUNTIF(TradeNames,$C13)=0)</formula>
    </cfRule>
  </conditionalFormatting>
  <conditionalFormatting sqref="D13:D52">
    <cfRule type="expression" priority="4" dxfId="1">
      <formula>AND($J13&lt;&gt;"",$D13="")</formula>
    </cfRule>
  </conditionalFormatting>
  <conditionalFormatting sqref="G13:G52">
    <cfRule type="expression" priority="5" dxfId="1">
      <formula>AND($J13&lt;&gt;"",$G13="")</formula>
    </cfRule>
  </conditionalFormatting>
  <conditionalFormatting sqref="O13:O52">
    <cfRule type="expression" priority="6" dxfId="0">
      <formula>AND($O13&lt;&gt;"",$O13&lt;&gt;0)</formula>
    </cfRule>
  </conditionalFormatting>
  <dataValidations count="14">
    <dataValidation sqref="B7" showDropDown="0" showInputMessage="0" showErrorMessage="0" allowBlank="1" type="list">
      <formula1>=VendorNames</formula1>
    </dataValidation>
    <dataValidation sqref="H7" showDropDown="0" showInputMessage="0" showErrorMessage="0" allowBlank="1" type="list">
      <formula1>=ShiftList</formula1>
    </dataValidation>
    <dataValidation sqref="B13:B52" showDropDown="0" showInputMessage="0" showErrorMessage="0" allowBlank="1" type="list">
      <formula1>=EmpNames</formula1>
    </dataValidation>
    <dataValidation sqref="C13:C52" showDropDown="0" showInputMessage="0" showErrorMessage="0" allowBlank="1" type="list">
      <formula1>=TradeNames</formula1>
    </dataValidation>
    <dataValidation sqref="D13:D52" showDropDown="0" showInputMessage="0" showErrorMessage="0" allowBlank="1" type="list">
      <formula1>=PONames</formula1>
    </dataValidation>
    <dataValidation sqref="E13:E52" showDropDown="0" showInputMessage="0" showErrorMessage="0" allowBlank="1" type="list">
      <formula1>=WONames</formula1>
    </dataValidation>
    <dataValidation sqref="K13:K52" showDropDown="0" showInputMessage="0" showErrorMessage="0" allowBlank="1" type="list">
      <formula1>=LocList</formula1>
    </dataValidation>
    <dataValidation sqref="P13:P52" showDropDown="0" showInputMessage="0" showErrorMessage="0" allowBlank="1" type="list">
      <formula1>=SwipeList</formula1>
    </dataValidation>
    <dataValidation sqref="Q13:Q52" showDropDown="0" showInputMessage="0" showErrorMessage="0" allowBlank="1" type="list">
      <formula1>=HoldUpList</formula1>
    </dataValidation>
    <dataValidation sqref="H13:H52" showDropDown="0" showInputMessage="0" showErrorMessage="1" allowBlank="1" errorTitle="Invalid hours" error="Enter 0 or more." type="decimal" operator="greaterThanOrEqual">
      <formula1>0</formula1>
    </dataValidation>
    <dataValidation sqref="I13:I52" showDropDown="0" showInputMessage="0" showErrorMessage="1" allowBlank="1" errorTitle="Invalid hours" error="Enter 0 or more." type="decimal" operator="greaterThanOrEqual">
      <formula1>0</formula1>
    </dataValidation>
    <dataValidation sqref="N13:N52" showDropDown="0" showInputMessage="0" showErrorMessage="1" allowBlank="1" errorTitle="Invalid hours" error="Enter 0 or more." type="decimal" operator="greaterThanOrEqual">
      <formula1>0</formula1>
    </dataValidation>
    <dataValidation sqref="F7" showDropDown="0" showInputMessage="0" showErrorMessage="0" allowBlank="1" type="date" operator="greaterThanOrEqual">
      <formula1>DATE(2020,1,1)</formula1>
    </dataValidation>
    <dataValidation sqref="B9" showDropDown="0" showInputMessage="0" showErrorMessage="0" allowBlank="1" type="date" operator="greaterThanOrEqual">
      <formula1>DATE(2020,1,1)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20" customWidth="1" min="3" max="3"/>
    <col width="22" customWidth="1" min="5" max="5"/>
    <col width="12" customWidth="1" min="6" max="6"/>
    <col width="28" customWidth="1" min="7" max="7"/>
    <col width="34" customWidth="1" min="9" max="9"/>
    <col width="54" customWidth="1" min="11" max="11"/>
    <col width="10" customWidth="1" min="13" max="13"/>
    <col width="15" customWidth="1" min="14" max="14"/>
    <col width="30" customWidth="1" min="15" max="15"/>
    <col width="30" customWidth="1" min="16" max="16"/>
  </cols>
  <sheetData>
    <row r="1" ht="20" customHeight="1">
      <c r="A1" s="6" t="inlineStr">
        <is>
          <t>VENDORS   (Name - ID shown on the timesheet)</t>
        </is>
      </c>
      <c r="E1" s="6" t="inlineStr">
        <is>
          <t>EMPLOYEES</t>
        </is>
      </c>
      <c r="I1" s="6" t="inlineStr">
        <is>
          <t>TRADES  (SAP code - name)</t>
        </is>
      </c>
      <c r="K1" s="6" t="inlineStr">
        <is>
          <t>PO / JOB</t>
        </is>
      </c>
      <c r="M1" s="6" t="inlineStr">
        <is>
          <t>PICK LISTS</t>
        </is>
      </c>
    </row>
    <row r="2">
      <c r="A2" s="38" t="inlineStr">
        <is>
          <t>Vendor Name</t>
        </is>
      </c>
      <c r="B2" s="38" t="inlineStr">
        <is>
          <t>Vendor ID</t>
        </is>
      </c>
      <c r="C2" s="38" t="inlineStr">
        <is>
          <t>Vendor (Name - ID)</t>
        </is>
      </c>
      <c r="E2" s="38" t="inlineStr">
        <is>
          <t>Employee Name</t>
        </is>
      </c>
      <c r="F2" s="38" t="inlineStr">
        <is>
          <t>Vendor</t>
        </is>
      </c>
      <c r="G2" s="38" t="inlineStr">
        <is>
          <t>Default Trade</t>
        </is>
      </c>
      <c r="M2" s="38" t="inlineStr">
        <is>
          <t>Shift</t>
        </is>
      </c>
      <c r="N2" s="38" t="inlineStr">
        <is>
          <t>Work Location</t>
        </is>
      </c>
      <c r="O2" s="38" t="inlineStr">
        <is>
          <t>Swipe Deviation</t>
        </is>
      </c>
      <c r="P2" s="38" t="inlineStr">
        <is>
          <t>Hold Up Type</t>
        </is>
      </c>
    </row>
    <row r="3">
      <c r="A3" s="39" t="inlineStr">
        <is>
          <t>Wolverine</t>
        </is>
      </c>
      <c r="B3" s="39" t="inlineStr">
        <is>
          <t>01</t>
        </is>
      </c>
      <c r="C3" s="39" t="inlineStr">
        <is>
          <t>Wolverine - 01</t>
        </is>
      </c>
      <c r="E3" s="39" t="inlineStr">
        <is>
          <t>Alton, Doug</t>
        </is>
      </c>
      <c r="I3" s="39" t="inlineStr">
        <is>
          <t>11101005-PM/Superintendent</t>
        </is>
      </c>
      <c r="K3" s="39" t="inlineStr">
        <is>
          <t>01-25-169 - CF - 2026TA - Pre-TA</t>
        </is>
      </c>
      <c r="M3" s="39" t="inlineStr">
        <is>
          <t>1 - Day</t>
        </is>
      </c>
      <c r="N3" s="39" t="inlineStr">
        <is>
          <t>1 - Shop Floor</t>
        </is>
      </c>
      <c r="O3" s="39" t="inlineStr">
        <is>
          <t>Call In</t>
        </is>
      </c>
      <c r="P3" s="39" t="inlineStr">
        <is>
          <t>Approved Offsite / Swipe Deviation</t>
        </is>
      </c>
    </row>
    <row r="4">
      <c r="A4" s="39" t="inlineStr">
        <is>
          <t>B&amp;D</t>
        </is>
      </c>
      <c r="B4" s="39" t="inlineStr">
        <is>
          <t>02</t>
        </is>
      </c>
      <c r="C4" s="39" t="inlineStr">
        <is>
          <t>B&amp;D - 02</t>
        </is>
      </c>
      <c r="E4" s="39" t="inlineStr">
        <is>
          <t>Chamberlain, Evan</t>
        </is>
      </c>
      <c r="I4" s="39" t="inlineStr">
        <is>
          <t>12100027-Operating Engineer Journeyman</t>
        </is>
      </c>
      <c r="K4" s="39" t="inlineStr">
        <is>
          <t>01-26-037 - CF - Project Controls Prior to TA</t>
        </is>
      </c>
      <c r="M4" s="39" t="inlineStr">
        <is>
          <t>2 - Night</t>
        </is>
      </c>
      <c r="N4" s="39" t="inlineStr">
        <is>
          <t>2 - Office</t>
        </is>
      </c>
      <c r="O4" s="39" t="inlineStr">
        <is>
          <t>Remote Work / Offsite Meeting</t>
        </is>
      </c>
      <c r="P4" s="39" t="inlineStr">
        <is>
          <t>Decision Needed to Proceed</t>
        </is>
      </c>
    </row>
    <row r="5">
      <c r="A5" s="39" t="inlineStr">
        <is>
          <t>Safeway</t>
        </is>
      </c>
      <c r="B5" s="39" t="inlineStr">
        <is>
          <t>03</t>
        </is>
      </c>
      <c r="C5" s="39" t="inlineStr">
        <is>
          <t>Safeway - 03</t>
        </is>
      </c>
      <c r="E5" s="39" t="inlineStr">
        <is>
          <t>Croft, Madison</t>
        </is>
      </c>
      <c r="I5" s="39" t="inlineStr">
        <is>
          <t>12104005-Pipefitter Journeyman</t>
        </is>
      </c>
      <c r="K5" s="39" t="inlineStr">
        <is>
          <t>01-26-038 - CF - Planning Support (01-25-217) - Ray Klassen</t>
        </is>
      </c>
      <c r="N5" s="39" t="inlineStr">
        <is>
          <t>3 - Field</t>
        </is>
      </c>
      <c r="O5" s="39" t="inlineStr">
        <is>
          <t>Safety - Fit for Duty Checks</t>
        </is>
      </c>
      <c r="P5" s="39" t="inlineStr">
        <is>
          <t>Equip Avail, Not Prepped</t>
        </is>
      </c>
    </row>
    <row r="6">
      <c r="E6" s="39" t="inlineStr">
        <is>
          <t>DeCiantis, Lu</t>
        </is>
      </c>
      <c r="I6" s="39" t="inlineStr">
        <is>
          <t>12104009-Construction Coordinator</t>
        </is>
      </c>
      <c r="K6" s="39" t="inlineStr">
        <is>
          <t>01-26-193 - CF - Wolverine Admin TA Support</t>
        </is>
      </c>
      <c r="O6" s="39" t="inlineStr">
        <is>
          <t>Shop Fabrication</t>
        </is>
      </c>
      <c r="P6" s="39" t="inlineStr">
        <is>
          <t>Equip Not Avail</t>
        </is>
      </c>
    </row>
    <row r="7">
      <c r="E7" s="39" t="inlineStr">
        <is>
          <t>Jamer, Douglas</t>
        </is>
      </c>
      <c r="I7" s="39" t="inlineStr">
        <is>
          <t>12104010-Pipefitter Welder</t>
        </is>
      </c>
      <c r="K7" s="39" t="inlineStr">
        <is>
          <t>01-26-200 - CF - QA/QC Planner for fall TA</t>
        </is>
      </c>
      <c r="O7" s="39" t="inlineStr">
        <is>
          <t>Shop Visit / Materials Pickup</t>
        </is>
      </c>
      <c r="P7" s="39" t="inlineStr">
        <is>
          <t>Parts/Material Not Avail</t>
        </is>
      </c>
    </row>
    <row r="8">
      <c r="E8" s="39" t="inlineStr">
        <is>
          <t>Joshi, Nitin</t>
        </is>
      </c>
      <c r="I8" s="39" t="inlineStr">
        <is>
          <t>12105015-Pipefitter Foreman</t>
        </is>
      </c>
      <c r="K8" s="39" t="inlineStr">
        <is>
          <t>01-26-500 - CF - TA - A2 C110 Blowdown Line - 3 Work Orders Combined</t>
        </is>
      </c>
      <c r="O8" s="39" t="inlineStr">
        <is>
          <t>Show Up Time</t>
        </is>
      </c>
      <c r="P8" s="39" t="inlineStr">
        <is>
          <t>Permit Delay</t>
        </is>
      </c>
    </row>
    <row r="9">
      <c r="E9" s="39" t="inlineStr">
        <is>
          <t>Kennedy, Michael</t>
        </is>
      </c>
      <c r="I9" s="39" t="inlineStr">
        <is>
          <t>13100002-E H &amp; S Manager</t>
        </is>
      </c>
      <c r="K9" s="39" t="inlineStr">
        <is>
          <t>01-26-502 - CF - TA-A2-PP-004 C405B RIK Corroded Pipe - 40012593</t>
        </is>
      </c>
      <c r="P9" s="39" t="inlineStr">
        <is>
          <t>Prev Op Not Complete</t>
        </is>
      </c>
    </row>
    <row r="10">
      <c r="E10" s="39" t="inlineStr">
        <is>
          <t>Klassen, Raymond</t>
        </is>
      </c>
      <c r="I10" s="39" t="inlineStr">
        <is>
          <t>13100008-Operating Engineer Foreman</t>
        </is>
      </c>
      <c r="K10" s="39" t="inlineStr">
        <is>
          <t>01-26-503 - CF - TA-A2-PP-003 L301B RIK Corroded Nipple - 40012011</t>
        </is>
      </c>
      <c r="P10" s="39" t="inlineStr">
        <is>
          <t>Priority Change by Owner</t>
        </is>
      </c>
    </row>
    <row r="11">
      <c r="E11" s="39" t="inlineStr">
        <is>
          <t>Martindale, Hillary</t>
        </is>
      </c>
      <c r="I11" s="39" t="inlineStr">
        <is>
          <t>13100009-Procurement Specialist</t>
        </is>
      </c>
      <c r="K11" s="39" t="inlineStr">
        <is>
          <t>01-26-504 - CF - TA-A2-PP-005 PSV2901 RIK Corroded Pipe - 40012609</t>
        </is>
      </c>
      <c r="P11" s="39" t="inlineStr">
        <is>
          <t>Safety Incident/Plant Evac</t>
        </is>
      </c>
    </row>
    <row r="12">
      <c r="E12" s="39" t="inlineStr">
        <is>
          <t>McDonald, Kyle</t>
        </is>
      </c>
      <c r="I12" s="39" t="inlineStr">
        <is>
          <t>13101001-Planner</t>
        </is>
      </c>
      <c r="K12" s="39" t="inlineStr">
        <is>
          <t>01-26-505 - CF - TA-A2-PP-006 RIK SW Pipe in Rack at D301- 40012654</t>
        </is>
      </c>
      <c r="P12" s="39" t="inlineStr">
        <is>
          <t>Support Not Avail - Crane</t>
        </is>
      </c>
    </row>
    <row r="13">
      <c r="E13" s="39" t="inlineStr">
        <is>
          <t>McGuire, Samantha</t>
        </is>
      </c>
      <c r="I13" s="39" t="inlineStr">
        <is>
          <t>13101002-Scheduler</t>
        </is>
      </c>
      <c r="K13" s="39" t="inlineStr">
        <is>
          <t>01-26-506 - CF - TA-A2-PP-008 8PV1752 RIK Upstream BW Valve - 60009389</t>
        </is>
      </c>
      <c r="P13" s="39" t="inlineStr">
        <is>
          <t>Support Not Avail - Other</t>
        </is>
      </c>
    </row>
    <row r="14">
      <c r="E14" s="39" t="inlineStr">
        <is>
          <t>Moore, Ryan</t>
        </is>
      </c>
      <c r="I14" s="39" t="inlineStr">
        <is>
          <t>13101005-Project Management &amp; Estimating</t>
        </is>
      </c>
      <c r="K14" s="39" t="inlineStr">
        <is>
          <t>01-26-512 - CF - TA-OLLR-A2-PP-021 TV1064 Remove Encl - 60010064</t>
        </is>
      </c>
    </row>
    <row r="15">
      <c r="E15" s="39" t="inlineStr">
        <is>
          <t>Paquette, David</t>
        </is>
      </c>
      <c r="I15" s="39" t="inlineStr">
        <is>
          <t>13106050-Time Keeper</t>
        </is>
      </c>
      <c r="K15" s="39" t="inlineStr">
        <is>
          <t>01-26-513 - TA-OLLR-A2-PP-024 8PV3095 Replace Block Vlv- 60010420</t>
        </is>
      </c>
    </row>
    <row r="16">
      <c r="E16" s="39" t="inlineStr">
        <is>
          <t>Powers, Dave</t>
        </is>
      </c>
      <c r="I16" s="39" t="inlineStr">
        <is>
          <t>13108000-QAQC Advisor</t>
        </is>
      </c>
      <c r="K16" s="39" t="inlineStr">
        <is>
          <t>01-26-514 - CF - TA-OLLR-A2-PP-027 HV1623 Remove Encl - 60010738</t>
        </is>
      </c>
    </row>
    <row r="17">
      <c r="E17" s="39" t="inlineStr">
        <is>
          <t>Schouten, Casey</t>
        </is>
      </c>
      <c r="K17" s="39" t="inlineStr">
        <is>
          <t>01-26-515 - CF - TA-A2-PP-007 LT5347 F501 RIK Corroded Nipple - 40012731</t>
        </is>
      </c>
    </row>
    <row r="18">
      <c r="E18" s="39" t="inlineStr">
        <is>
          <t>Toms, Kevin</t>
        </is>
      </c>
      <c r="K18" s="39" t="inlineStr">
        <is>
          <t>01-26-516 - CF - TA-A2-PP-018 F401 Replace VLVs to F501 - 60009798</t>
        </is>
      </c>
    </row>
    <row r="19">
      <c r="E19" s="39" t="inlineStr">
        <is>
          <t>Valiquette, Mark</t>
        </is>
      </c>
      <c r="K19" s="39" t="inlineStr">
        <is>
          <t>01-26-517 - CF - TA-A2-PP-031 HV1072 Replace Drain Vlvs - 60015209</t>
        </is>
      </c>
    </row>
    <row r="20">
      <c r="E20" s="39" t="inlineStr">
        <is>
          <t>Wiles, Tim</t>
        </is>
      </c>
      <c r="K20" s="39" t="inlineStr">
        <is>
          <t>01-26-518 - CF - TA-OLLR-A2-PP-014 LV5178 Remove Encl - 60009691</t>
        </is>
      </c>
    </row>
    <row r="21">
      <c r="E21" s="39" t="inlineStr">
        <is>
          <t>Wilson, Justin</t>
        </is>
      </c>
      <c r="K21" s="39" t="inlineStr">
        <is>
          <t>01-26-519 - CF - TA-OLLR-A2-PP-016 TV1068 Remove Encl - 60009696</t>
        </is>
      </c>
    </row>
    <row r="22">
      <c r="E22" s="39" t="inlineStr">
        <is>
          <t>Woudenberg, Rick</t>
        </is>
      </c>
      <c r="K22" s="39" t="inlineStr">
        <is>
          <t>01-26-520 - CF - TA-OLLR-A2-PP-022 C115 Remove Enclosure - 60010066</t>
        </is>
      </c>
    </row>
    <row r="23">
      <c r="E23" s="39" t="inlineStr">
        <is>
          <t>Woudenberg, Tanner</t>
        </is>
      </c>
      <c r="K23" s="39" t="inlineStr">
        <is>
          <t>01-26-522 - CF - TA-A2-PP-032 ROB5528 Replace Drain Vlvs - 60015210</t>
        </is>
      </c>
    </row>
    <row r="24">
      <c r="K24" s="39" t="inlineStr">
        <is>
          <t>01-26-523 - CF - TA-OLLR-A2-PP-030 8FV4140 Byps Drain Vlv - 60015207</t>
        </is>
      </c>
    </row>
    <row r="25">
      <c r="K25" s="39" t="inlineStr">
        <is>
          <t>01-26-524 - CF - TA-OLLR-A2-PP-033 L501 Repair Steam Trap - 60015223</t>
        </is>
      </c>
    </row>
    <row r="26">
      <c r="K26" s="39" t="inlineStr">
        <is>
          <t>01-26-525 - CF - TA-A2-PP-034 B102 Repair BFW Pipe - 60015256</t>
        </is>
      </c>
    </row>
    <row r="27">
      <c r="K27" s="39" t="inlineStr">
        <is>
          <t>01-26-526 - CF - TA-A2-PP-040 G404 LGs Install Caps - 60010048</t>
        </is>
      </c>
    </row>
    <row r="28">
      <c r="K28" s="39" t="inlineStr">
        <is>
          <t>01-26-527 - CF - TA-A2-PP-041 D301 Outlet Bleed Valve - 60043511</t>
        </is>
      </c>
    </row>
    <row r="29">
      <c r="K29" s="39" t="inlineStr">
        <is>
          <t>01-26-528 - CF - TA-A2-PP-042 FV4144 Drain Valves - 60043512</t>
        </is>
      </c>
    </row>
    <row r="30">
      <c r="K30" s="39" t="inlineStr">
        <is>
          <t>01-26-529 - CF - TA-OLLR-A2-PP-010 200# Steam Remove Encl - 60009556</t>
        </is>
      </c>
    </row>
    <row r="31">
      <c r="K31" s="39" t="inlineStr">
        <is>
          <t>01-26-530 - CF - TA-OLLR-A2-PP-043 - C501 Perm Piping Repair</t>
        </is>
      </c>
    </row>
    <row r="32">
      <c r="K32" s="39" t="inlineStr">
        <is>
          <t>01-26-531 - CF - TA-A2-PP-036 J101-7AB Replace Equal Vlv - 60010915</t>
        </is>
      </c>
    </row>
    <row r="33">
      <c r="K33" s="39" t="inlineStr">
        <is>
          <t>01-26-532 - CF - TA-A2-PP-044 E24-118 Decommission UG CO2 Line</t>
        </is>
      </c>
    </row>
    <row r="34">
      <c r="K34" s="39" t="inlineStr">
        <is>
          <t>01-26-533 - CF - TA-A2-PP-045 E24-213 J101 Eliminate Low Point - 20000606</t>
        </is>
      </c>
    </row>
    <row r="35">
      <c r="K35" s="39" t="inlineStr">
        <is>
          <t>01-26-800 - CF - TA-UR-PP-004 E121 Replace Drain Valve - 60009998</t>
        </is>
      </c>
    </row>
    <row r="36">
      <c r="K36" s="39" t="inlineStr">
        <is>
          <t>01-26-803 - CF - TA-UR-PP-005 P117B Xmas Tree Drain Vlv - 60010150</t>
        </is>
      </c>
    </row>
    <row r="37">
      <c r="K37" s="39" t="inlineStr">
        <is>
          <t>01-26-805 - CF - TA-TMOC-UR-PP-012 4PCV895 Outlet PI - 20000745</t>
        </is>
      </c>
    </row>
    <row r="38">
      <c r="K38" s="39" t="inlineStr">
        <is>
          <t>01-26-808 - CA - TA-UR-PP-020 4LV4421 LPD Steam Valve - 60043519</t>
        </is>
      </c>
    </row>
    <row r="39">
      <c r="K39" s="39" t="inlineStr">
        <is>
          <t>01-26-809 - CA - TA-UR-PP-021 4LV4441 Steam Out Valve - 60043540</t>
        </is>
      </c>
    </row>
    <row r="40"/>
    <row r="41"/>
  </sheetData>
  <mergeCells count="5">
    <mergeCell ref="I1"/>
    <mergeCell ref="A1:C1"/>
    <mergeCell ref="M1:P1"/>
    <mergeCell ref="K1"/>
    <mergeCell ref="E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4" customWidth="1" min="2" max="2"/>
    <col width="20" customWidth="1" min="4" max="4"/>
    <col width="12" customWidth="1" min="5" max="5"/>
    <col width="9" customWidth="1" min="6" max="6"/>
    <col width="40" customWidth="1" min="7" max="7"/>
    <col width="13" customWidth="1" min="8" max="8"/>
  </cols>
  <sheetData>
    <row r="1" ht="20" customHeight="1">
      <c r="A1" s="6" t="inlineStr">
        <is>
          <t>WORK ORDERS   (WO ID -&gt; Name; from SAP)</t>
        </is>
      </c>
      <c r="D1" s="6" t="inlineStr">
        <is>
          <t>OP STEP MASTER   (from SAP 'Data' export)</t>
        </is>
      </c>
    </row>
    <row r="2">
      <c r="A2" s="38" t="inlineStr">
        <is>
          <t>WO ID</t>
        </is>
      </c>
      <c r="B2" s="38" t="inlineStr">
        <is>
          <t>WO Name</t>
        </is>
      </c>
      <c r="D2" s="38" t="inlineStr">
        <is>
          <t>WOOP</t>
        </is>
      </c>
      <c r="E2" s="38" t="inlineStr">
        <is>
          <t>WO ID</t>
        </is>
      </c>
      <c r="F2" s="38" t="inlineStr">
        <is>
          <t>OP Step</t>
        </is>
      </c>
      <c r="G2" s="38" t="inlineStr">
        <is>
          <t>Op Short Text</t>
        </is>
      </c>
      <c r="H2" s="38" t="inlineStr">
        <is>
          <t>Work Center</t>
        </is>
      </c>
    </row>
    <row r="3">
      <c r="A3" s="39" t="inlineStr">
        <is>
          <t>20000563</t>
        </is>
      </c>
      <c r="B3" s="39" t="inlineStr">
        <is>
          <t>TA-UR-PP-023 E24-120 E104-105 Steam Cond</t>
        </is>
      </c>
      <c r="D3" s="39" t="inlineStr">
        <is>
          <t>WO20000563OP0080</t>
        </is>
      </c>
      <c r="E3" s="39" t="inlineStr">
        <is>
          <t>20000563</t>
        </is>
      </c>
      <c r="F3" s="39" t="inlineStr">
        <is>
          <t>0080</t>
        </is>
      </c>
      <c r="G3" s="39" t="inlineStr">
        <is>
          <t>E104 Install New Trap Valves Pipe</t>
        </is>
      </c>
      <c r="H3" s="39" t="inlineStr">
        <is>
          <t>CWVPF02T</t>
        </is>
      </c>
    </row>
    <row r="4">
      <c r="A4" s="39" t="inlineStr">
        <is>
          <t>40011104</t>
        </is>
      </c>
      <c r="B4" s="39" t="inlineStr">
        <is>
          <t>TA-4TV4522-Overhaul</t>
        </is>
      </c>
      <c r="D4" s="39" t="inlineStr">
        <is>
          <t>WO20000563OP0090</t>
        </is>
      </c>
      <c r="E4" s="39" t="inlineStr">
        <is>
          <t>20000563</t>
        </is>
      </c>
      <c r="F4" s="39" t="inlineStr">
        <is>
          <t>0090</t>
        </is>
      </c>
      <c r="G4" s="39" t="inlineStr">
        <is>
          <t>E105 Install New Trap Valves Pipe</t>
        </is>
      </c>
      <c r="H4" s="39" t="inlineStr">
        <is>
          <t>CWVPF02T</t>
        </is>
      </c>
    </row>
    <row r="5">
      <c r="A5" s="39" t="inlineStr">
        <is>
          <t>40011112</t>
        </is>
      </c>
      <c r="B5" s="39" t="inlineStr">
        <is>
          <t>TA-4XV4527-Overhaul</t>
        </is>
      </c>
      <c r="D5" s="39" t="inlineStr">
        <is>
          <t>WO20000563OP0140</t>
        </is>
      </c>
      <c r="E5" s="39" t="inlineStr">
        <is>
          <t>20000563</t>
        </is>
      </c>
      <c r="F5" s="39" t="inlineStr">
        <is>
          <t>0140</t>
        </is>
      </c>
      <c r="G5" s="39" t="inlineStr">
        <is>
          <t>Install Insulation</t>
        </is>
      </c>
      <c r="H5" s="39" t="inlineStr">
        <is>
          <t>IN01T</t>
        </is>
      </c>
    </row>
    <row r="6">
      <c r="A6" s="39" t="inlineStr">
        <is>
          <t>40011116</t>
        </is>
      </c>
      <c r="B6" s="39" t="inlineStr">
        <is>
          <t>TA-4XV4556-Overhaul</t>
        </is>
      </c>
      <c r="D6" s="39" t="inlineStr">
        <is>
          <t>WO40011104OP0100</t>
        </is>
      </c>
      <c r="E6" s="39" t="inlineStr">
        <is>
          <t>40011104</t>
        </is>
      </c>
      <c r="F6" s="39" t="inlineStr">
        <is>
          <t>0100</t>
        </is>
      </c>
      <c r="G6" s="39" t="inlineStr">
        <is>
          <t>Offsite Service of Valve</t>
        </is>
      </c>
      <c r="H6" s="39" t="inlineStr">
        <is>
          <t>ZR03T</t>
        </is>
      </c>
    </row>
    <row r="7">
      <c r="A7" s="39" t="inlineStr">
        <is>
          <t>40011117</t>
        </is>
      </c>
      <c r="B7" s="39" t="inlineStr">
        <is>
          <t>TA-4XV4558-Overhaul</t>
        </is>
      </c>
      <c r="D7" s="39" t="inlineStr">
        <is>
          <t>WO40011112OP0100</t>
        </is>
      </c>
      <c r="E7" s="39" t="inlineStr">
        <is>
          <t>40011112</t>
        </is>
      </c>
      <c r="F7" s="39" t="inlineStr">
        <is>
          <t>0100</t>
        </is>
      </c>
      <c r="G7" s="39" t="inlineStr">
        <is>
          <t>Offsite Service of Valve</t>
        </is>
      </c>
      <c r="H7" s="39" t="inlineStr">
        <is>
          <t>ZR03T</t>
        </is>
      </c>
    </row>
    <row r="8">
      <c r="A8" s="39" t="inlineStr">
        <is>
          <t>40011123</t>
        </is>
      </c>
      <c r="B8" s="39" t="inlineStr">
        <is>
          <t>TA-4XV4585-Overhaul</t>
        </is>
      </c>
      <c r="D8" s="39" t="inlineStr">
        <is>
          <t>WO40011116OP0100</t>
        </is>
      </c>
      <c r="E8" s="39" t="inlineStr">
        <is>
          <t>40011116</t>
        </is>
      </c>
      <c r="F8" s="39" t="inlineStr">
        <is>
          <t>0100</t>
        </is>
      </c>
      <c r="G8" s="39" t="inlineStr">
        <is>
          <t>Offsite Service of Valve</t>
        </is>
      </c>
      <c r="H8" s="39" t="inlineStr">
        <is>
          <t>ZR03T</t>
        </is>
      </c>
    </row>
    <row r="9">
      <c r="A9" s="39" t="inlineStr">
        <is>
          <t>40011128</t>
        </is>
      </c>
      <c r="B9" s="39" t="inlineStr">
        <is>
          <t>TA-4PV4462-Overhaul</t>
        </is>
      </c>
      <c r="D9" s="39" t="inlineStr">
        <is>
          <t>WO40011117OP0100</t>
        </is>
      </c>
      <c r="E9" s="39" t="inlineStr">
        <is>
          <t>40011117</t>
        </is>
      </c>
      <c r="F9" s="39" t="inlineStr">
        <is>
          <t>0100</t>
        </is>
      </c>
      <c r="G9" s="39" t="inlineStr">
        <is>
          <t>Offsite Service of Valve</t>
        </is>
      </c>
      <c r="H9" s="39" t="inlineStr">
        <is>
          <t>ZR03T</t>
        </is>
      </c>
    </row>
    <row r="10">
      <c r="A10" s="39" t="inlineStr">
        <is>
          <t>40011133</t>
        </is>
      </c>
      <c r="B10" s="39" t="inlineStr">
        <is>
          <t>TA-4PV5440-Overhaul</t>
        </is>
      </c>
      <c r="D10" s="39" t="inlineStr">
        <is>
          <t>WO40011123OP0100</t>
        </is>
      </c>
      <c r="E10" s="39" t="inlineStr">
        <is>
          <t>40011123</t>
        </is>
      </c>
      <c r="F10" s="39" t="inlineStr">
        <is>
          <t>0100</t>
        </is>
      </c>
      <c r="G10" s="39" t="inlineStr">
        <is>
          <t>Offsite Service of Valve</t>
        </is>
      </c>
      <c r="H10" s="39" t="inlineStr">
        <is>
          <t>ZR03T</t>
        </is>
      </c>
    </row>
    <row r="11">
      <c r="A11" s="39" t="inlineStr">
        <is>
          <t>40011136</t>
        </is>
      </c>
      <c r="B11" s="39" t="inlineStr">
        <is>
          <t>TA-4HV5462-Overhaul</t>
        </is>
      </c>
      <c r="D11" s="39" t="inlineStr">
        <is>
          <t>WO40011128OP0100</t>
        </is>
      </c>
      <c r="E11" s="39" t="inlineStr">
        <is>
          <t>40011128</t>
        </is>
      </c>
      <c r="F11" s="39" t="inlineStr">
        <is>
          <t>0100</t>
        </is>
      </c>
      <c r="G11" s="39" t="inlineStr">
        <is>
          <t>Offsite Service of Valve</t>
        </is>
      </c>
      <c r="H11" s="39" t="inlineStr">
        <is>
          <t>ZR03T</t>
        </is>
      </c>
    </row>
    <row r="12">
      <c r="A12" s="39" t="inlineStr">
        <is>
          <t>40011137</t>
        </is>
      </c>
      <c r="B12" s="39" t="inlineStr">
        <is>
          <t>TA-4PV5520-Overhaul</t>
        </is>
      </c>
      <c r="D12" s="39" t="inlineStr">
        <is>
          <t>WO40011133OP0100</t>
        </is>
      </c>
      <c r="E12" s="39" t="inlineStr">
        <is>
          <t>40011133</t>
        </is>
      </c>
      <c r="F12" s="39" t="inlineStr">
        <is>
          <t>0100</t>
        </is>
      </c>
      <c r="G12" s="39" t="inlineStr">
        <is>
          <t>Offsite Service of Valve</t>
        </is>
      </c>
      <c r="H12" s="39" t="inlineStr">
        <is>
          <t>ZR03T</t>
        </is>
      </c>
    </row>
    <row r="13">
      <c r="A13" s="39" t="inlineStr">
        <is>
          <t>40011141</t>
        </is>
      </c>
      <c r="B13" s="39" t="inlineStr">
        <is>
          <t>TA-4PV5521-Overhaul</t>
        </is>
      </c>
      <c r="D13" s="39" t="inlineStr">
        <is>
          <t>WO40011136OP0100</t>
        </is>
      </c>
      <c r="E13" s="39" t="inlineStr">
        <is>
          <t>40011136</t>
        </is>
      </c>
      <c r="F13" s="39" t="inlineStr">
        <is>
          <t>0100</t>
        </is>
      </c>
      <c r="G13" s="39" t="inlineStr">
        <is>
          <t>Offsite Service of Valve</t>
        </is>
      </c>
      <c r="H13" s="39" t="inlineStr">
        <is>
          <t>ZR03T</t>
        </is>
      </c>
    </row>
    <row r="14">
      <c r="A14" s="39" t="inlineStr">
        <is>
          <t>40011143</t>
        </is>
      </c>
      <c r="B14" s="39" t="inlineStr">
        <is>
          <t>TA-4HV5624-Overhaul</t>
        </is>
      </c>
      <c r="D14" s="39" t="inlineStr">
        <is>
          <t>WO40011137OP0100</t>
        </is>
      </c>
      <c r="E14" s="39" t="inlineStr">
        <is>
          <t>40011137</t>
        </is>
      </c>
      <c r="F14" s="39" t="inlineStr">
        <is>
          <t>0100</t>
        </is>
      </c>
      <c r="G14" s="39" t="inlineStr">
        <is>
          <t>Offsite Service of Valve</t>
        </is>
      </c>
      <c r="H14" s="39" t="inlineStr">
        <is>
          <t>ZR03T</t>
        </is>
      </c>
    </row>
    <row r="15">
      <c r="A15" s="39" t="inlineStr">
        <is>
          <t>40011148</t>
        </is>
      </c>
      <c r="B15" s="39" t="inlineStr">
        <is>
          <t>TA 2026 Site Electrical Utilities PM</t>
        </is>
      </c>
      <c r="D15" s="39" t="inlineStr">
        <is>
          <t>WO40011141OP0100</t>
        </is>
      </c>
      <c r="E15" s="39" t="inlineStr">
        <is>
          <t>40011141</t>
        </is>
      </c>
      <c r="F15" s="39" t="inlineStr">
        <is>
          <t>0100</t>
        </is>
      </c>
      <c r="G15" s="39" t="inlineStr">
        <is>
          <t>Offsite Service of Valve</t>
        </is>
      </c>
      <c r="H15" s="39" t="inlineStr">
        <is>
          <t>ZR03T</t>
        </is>
      </c>
    </row>
    <row r="16">
      <c r="A16" s="39" t="inlineStr">
        <is>
          <t>40011180</t>
        </is>
      </c>
      <c r="B16" s="39" t="inlineStr">
        <is>
          <t>TA–2PSV2838–Overhaul</t>
        </is>
      </c>
      <c r="D16" s="39" t="inlineStr">
        <is>
          <t>WO40011143OP0090</t>
        </is>
      </c>
      <c r="E16" s="39" t="inlineStr">
        <is>
          <t>40011143</t>
        </is>
      </c>
      <c r="F16" s="39" t="inlineStr">
        <is>
          <t>0090</t>
        </is>
      </c>
      <c r="G16" s="39" t="inlineStr">
        <is>
          <t>Offsite Service of Valve</t>
        </is>
      </c>
      <c r="H16" s="39" t="inlineStr">
        <is>
          <t>ZR03T</t>
        </is>
      </c>
    </row>
    <row r="17">
      <c r="A17" s="39" t="inlineStr">
        <is>
          <t>40011187</t>
        </is>
      </c>
      <c r="B17" s="39" t="inlineStr">
        <is>
          <t>TA–8PSV1753–Overhaul</t>
        </is>
      </c>
      <c r="D17" s="39" t="inlineStr">
        <is>
          <t>WO40011148OP0392</t>
        </is>
      </c>
      <c r="E17" s="39" t="inlineStr">
        <is>
          <t>40011148</t>
        </is>
      </c>
      <c r="F17" s="39" t="inlineStr">
        <is>
          <t>0392</t>
        </is>
      </c>
      <c r="G17" s="39" t="inlineStr">
        <is>
          <t>LCI Filters - Inspect, Clean, Test</t>
        </is>
      </c>
      <c r="H17" s="39" t="inlineStr">
        <is>
          <t>EL01T</t>
        </is>
      </c>
    </row>
    <row r="18">
      <c r="A18" s="39" t="inlineStr">
        <is>
          <t>40011193</t>
        </is>
      </c>
      <c r="B18" s="39" t="inlineStr">
        <is>
          <t>TA–8PSV1901–Overhaul</t>
        </is>
      </c>
      <c r="D18" s="39" t="inlineStr">
        <is>
          <t>WO40011148OP0395</t>
        </is>
      </c>
      <c r="E18" s="39" t="inlineStr">
        <is>
          <t>40011148</t>
        </is>
      </c>
      <c r="F18" s="39" t="inlineStr">
        <is>
          <t>0395</t>
        </is>
      </c>
      <c r="G18" s="39" t="inlineStr">
        <is>
          <t>28kV Switchgear - Inspect, Clean, Test</t>
        </is>
      </c>
      <c r="H18" s="39" t="inlineStr">
        <is>
          <t>EL01T</t>
        </is>
      </c>
    </row>
    <row r="19">
      <c r="A19" s="39" t="inlineStr">
        <is>
          <t>40011195</t>
        </is>
      </c>
      <c r="B19" s="39" t="inlineStr">
        <is>
          <t>TA–8PSV1902–Overhaul</t>
        </is>
      </c>
      <c r="D19" s="39" t="inlineStr">
        <is>
          <t>WO40011148OP0396</t>
        </is>
      </c>
      <c r="E19" s="39" t="inlineStr">
        <is>
          <t>40011148</t>
        </is>
      </c>
      <c r="F19" s="39" t="inlineStr">
        <is>
          <t>0396</t>
        </is>
      </c>
      <c r="G19" s="39" t="inlineStr">
        <is>
          <t>F-15-1- Inspect, Clean, Test</t>
        </is>
      </c>
      <c r="H19" s="39" t="inlineStr">
        <is>
          <t>EL01T</t>
        </is>
      </c>
    </row>
    <row r="20">
      <c r="A20" s="39" t="inlineStr">
        <is>
          <t>40011204</t>
        </is>
      </c>
      <c r="B20" s="39" t="inlineStr">
        <is>
          <t>TA–2PSV2438–Overhaul</t>
        </is>
      </c>
      <c r="D20" s="39" t="inlineStr">
        <is>
          <t>WO40011148OP0397</t>
        </is>
      </c>
      <c r="E20" s="39" t="inlineStr">
        <is>
          <t>40011148</t>
        </is>
      </c>
      <c r="F20" s="39" t="inlineStr">
        <is>
          <t>0397</t>
        </is>
      </c>
      <c r="G20" s="39" t="inlineStr">
        <is>
          <t>F-15-2- Inspect, Clean, Test</t>
        </is>
      </c>
      <c r="H20" s="39" t="inlineStr">
        <is>
          <t>EL01T</t>
        </is>
      </c>
    </row>
    <row r="21">
      <c r="A21" s="39" t="inlineStr">
        <is>
          <t>40011212</t>
        </is>
      </c>
      <c r="B21" s="39" t="inlineStr">
        <is>
          <t>TA–2PSV2417–Overhaul</t>
        </is>
      </c>
      <c r="D21" s="39" t="inlineStr">
        <is>
          <t>WO40011148OP0398</t>
        </is>
      </c>
      <c r="E21" s="39" t="inlineStr">
        <is>
          <t>40011148</t>
        </is>
      </c>
      <c r="F21" s="39" t="inlineStr">
        <is>
          <t>0398</t>
        </is>
      </c>
      <c r="G21" s="39" t="inlineStr">
        <is>
          <t>15kV Gear - Inspect, Clean, Test</t>
        </is>
      </c>
      <c r="H21" s="39" t="inlineStr">
        <is>
          <t>EL01T</t>
        </is>
      </c>
    </row>
    <row r="22">
      <c r="A22" s="39" t="inlineStr">
        <is>
          <t>40011214</t>
        </is>
      </c>
      <c r="B22" s="39" t="inlineStr">
        <is>
          <t>TA–2PSV2416–Overhaul</t>
        </is>
      </c>
      <c r="D22" s="39" t="inlineStr">
        <is>
          <t>WO40011148OP0399</t>
        </is>
      </c>
      <c r="E22" s="39" t="inlineStr">
        <is>
          <t>40011148</t>
        </is>
      </c>
      <c r="F22" s="39" t="inlineStr">
        <is>
          <t>0399</t>
        </is>
      </c>
      <c r="G22" s="39" t="inlineStr">
        <is>
          <t>5kV Buss #1 - Inspect, Clean, Test</t>
        </is>
      </c>
      <c r="H22" s="39" t="inlineStr">
        <is>
          <t>EL01T</t>
        </is>
      </c>
    </row>
    <row r="23">
      <c r="A23" s="39" t="inlineStr">
        <is>
          <t>40011221</t>
        </is>
      </c>
      <c r="B23" s="39" t="inlineStr">
        <is>
          <t>TA–4PSV90–Overhaul</t>
        </is>
      </c>
      <c r="D23" s="39" t="inlineStr">
        <is>
          <t>WO40011148OP0400</t>
        </is>
      </c>
      <c r="E23" s="39" t="inlineStr">
        <is>
          <t>40011148</t>
        </is>
      </c>
      <c r="F23" s="39" t="inlineStr">
        <is>
          <t>0400</t>
        </is>
      </c>
      <c r="G23" s="39" t="inlineStr">
        <is>
          <t>5kV Buss #2 - Inspect, Clean, Test</t>
        </is>
      </c>
      <c r="H23" s="39" t="inlineStr">
        <is>
          <t>EL01T</t>
        </is>
      </c>
    </row>
    <row r="24">
      <c r="A24" s="39" t="inlineStr">
        <is>
          <t>40011275</t>
        </is>
      </c>
      <c r="B24" s="39" t="inlineStr">
        <is>
          <t>TA-F703-Inspection-Repair</t>
        </is>
      </c>
      <c r="D24" s="39" t="inlineStr">
        <is>
          <t>WO40011148OP0401</t>
        </is>
      </c>
      <c r="E24" s="39" t="inlineStr">
        <is>
          <t>40011148</t>
        </is>
      </c>
      <c r="F24" s="39" t="inlineStr">
        <is>
          <t>0401</t>
        </is>
      </c>
      <c r="G24" s="39" t="inlineStr">
        <is>
          <t>5kV Buss #3 - Inspect, Clean, Test</t>
        </is>
      </c>
      <c r="H24" s="39" t="inlineStr">
        <is>
          <t>EL01T</t>
        </is>
      </c>
    </row>
    <row r="25">
      <c r="A25" s="39" t="inlineStr">
        <is>
          <t>40011340</t>
        </is>
      </c>
      <c r="B25" s="39" t="inlineStr">
        <is>
          <t>TA-F620-Inspection-Regulatory</t>
        </is>
      </c>
      <c r="D25" s="39" t="inlineStr">
        <is>
          <t>WO40011148OP0402</t>
        </is>
      </c>
      <c r="E25" s="39" t="inlineStr">
        <is>
          <t>40011148</t>
        </is>
      </c>
      <c r="F25" s="39" t="inlineStr">
        <is>
          <t>0402</t>
        </is>
      </c>
      <c r="G25" s="39" t="inlineStr">
        <is>
          <t>5kV Buss #4- Inspect, Clean, Test</t>
        </is>
      </c>
      <c r="H25" s="39" t="inlineStr">
        <is>
          <t>EL01T</t>
        </is>
      </c>
    </row>
    <row r="26">
      <c r="A26" s="39" t="inlineStr">
        <is>
          <t>40011687</t>
        </is>
      </c>
      <c r="B26" s="39" t="inlineStr">
        <is>
          <t>TA-D120U-Inspection-Regulatory</t>
        </is>
      </c>
      <c r="D26" s="39" t="inlineStr">
        <is>
          <t>WO40011148OP0403</t>
        </is>
      </c>
      <c r="E26" s="39" t="inlineStr">
        <is>
          <t>40011148</t>
        </is>
      </c>
      <c r="F26" s="39" t="inlineStr">
        <is>
          <t>0403</t>
        </is>
      </c>
      <c r="G26" s="39" t="inlineStr">
        <is>
          <t>RWPH 5kV Gear - Inspect, Clean, Test</t>
        </is>
      </c>
      <c r="H26" s="39" t="inlineStr">
        <is>
          <t>EL01T</t>
        </is>
      </c>
    </row>
    <row r="27">
      <c r="A27" s="39" t="inlineStr">
        <is>
          <t>40011725</t>
        </is>
      </c>
      <c r="B27" s="39" t="inlineStr">
        <is>
          <t>TA-D301U-Inspection-Regulatory</t>
        </is>
      </c>
      <c r="D27" s="39" t="inlineStr">
        <is>
          <t>WO40011148OP0405</t>
        </is>
      </c>
      <c r="E27" s="39" t="inlineStr">
        <is>
          <t>40011148</t>
        </is>
      </c>
      <c r="F27" s="39" t="inlineStr">
        <is>
          <t>0405</t>
        </is>
      </c>
      <c r="G27" s="39" t="inlineStr">
        <is>
          <t>A28-1 28kV Gear- Inspect, Clean, Test</t>
        </is>
      </c>
      <c r="H27" s="39" t="inlineStr">
        <is>
          <t>EL01T</t>
        </is>
      </c>
    </row>
    <row r="28">
      <c r="A28" s="39" t="inlineStr">
        <is>
          <t>40012304</t>
        </is>
      </c>
      <c r="B28" s="39" t="inlineStr">
        <is>
          <t>TA-G101-Inspection-Regulatory</t>
        </is>
      </c>
      <c r="D28" s="39" t="inlineStr">
        <is>
          <t>WO40011148OP0406</t>
        </is>
      </c>
      <c r="E28" s="39" t="inlineStr">
        <is>
          <t>40011148</t>
        </is>
      </c>
      <c r="F28" s="39" t="inlineStr">
        <is>
          <t>0406</t>
        </is>
      </c>
      <c r="G28" s="39" t="inlineStr">
        <is>
          <t>A5-2 Gear- Inspect, Clean, Test</t>
        </is>
      </c>
      <c r="H28" s="39" t="inlineStr">
        <is>
          <t>EL01T</t>
        </is>
      </c>
    </row>
    <row r="29">
      <c r="A29" s="39" t="inlineStr">
        <is>
          <t>40012416</t>
        </is>
      </c>
      <c r="B29" s="39" t="inlineStr">
        <is>
          <t>TA-C104-Inspection-Clean-Regulatory</t>
        </is>
      </c>
      <c r="D29" s="39" t="inlineStr">
        <is>
          <t>WO40011148OP0620</t>
        </is>
      </c>
      <c r="E29" s="39" t="inlineStr">
        <is>
          <t>40011148</t>
        </is>
      </c>
      <c r="F29" s="39" t="inlineStr">
        <is>
          <t>0620</t>
        </is>
      </c>
      <c r="G29" s="39" t="inlineStr">
        <is>
          <t>M2 OCB- Circuit Breaker - Inspect, Clean</t>
        </is>
      </c>
      <c r="H29" s="39" t="inlineStr">
        <is>
          <t>EL01T</t>
        </is>
      </c>
    </row>
    <row r="30">
      <c r="A30" s="39" t="inlineStr">
        <is>
          <t>40012452</t>
        </is>
      </c>
      <c r="B30" s="39" t="inlineStr">
        <is>
          <t>TA-C201-Insp-Clean-Regulatory</t>
        </is>
      </c>
      <c r="D30" s="39" t="inlineStr">
        <is>
          <t>WO40011148OP0630</t>
        </is>
      </c>
      <c r="E30" s="39" t="inlineStr">
        <is>
          <t>40011148</t>
        </is>
      </c>
      <c r="F30" s="39" t="inlineStr">
        <is>
          <t>0630</t>
        </is>
      </c>
      <c r="G30" s="39" t="inlineStr">
        <is>
          <t>M4 OCB- Circuit Breaker - Inspect, Clean</t>
        </is>
      </c>
      <c r="H30" s="39" t="inlineStr">
        <is>
          <t>EL01T</t>
        </is>
      </c>
    </row>
    <row r="31">
      <c r="A31" s="39" t="inlineStr">
        <is>
          <t>40012698</t>
        </is>
      </c>
      <c r="B31" s="39" t="inlineStr">
        <is>
          <t>TA-D103-Inspection-Catalyst-Regulatory</t>
        </is>
      </c>
      <c r="D31" s="39" t="inlineStr">
        <is>
          <t>WO40011180OP0100</t>
        </is>
      </c>
      <c r="E31" s="39" t="inlineStr">
        <is>
          <t>40011180</t>
        </is>
      </c>
      <c r="F31" s="39" t="inlineStr">
        <is>
          <t>0100</t>
        </is>
      </c>
      <c r="G31" s="39" t="inlineStr">
        <is>
          <t>Offsite Service of Valve</t>
        </is>
      </c>
      <c r="H31" s="39" t="inlineStr">
        <is>
          <t>ZR03T</t>
        </is>
      </c>
    </row>
    <row r="32">
      <c r="A32" s="39" t="inlineStr">
        <is>
          <t>40012709</t>
        </is>
      </c>
      <c r="B32" s="39" t="inlineStr">
        <is>
          <t>TA-F101-Inspection-Regulatory</t>
        </is>
      </c>
      <c r="D32" s="39" t="inlineStr">
        <is>
          <t>WO40011187OP0100</t>
        </is>
      </c>
      <c r="E32" s="39" t="inlineStr">
        <is>
          <t>40011187</t>
        </is>
      </c>
      <c r="F32" s="39" t="inlineStr">
        <is>
          <t>0100</t>
        </is>
      </c>
      <c r="G32" s="39" t="inlineStr">
        <is>
          <t>Offsite Service of Valve</t>
        </is>
      </c>
      <c r="H32" s="39" t="inlineStr">
        <is>
          <t>ZR03T</t>
        </is>
      </c>
    </row>
    <row r="33">
      <c r="A33" s="39" t="inlineStr">
        <is>
          <t>40012745</t>
        </is>
      </c>
      <c r="B33" s="39" t="inlineStr">
        <is>
          <t>TA-JT101-Major</t>
        </is>
      </c>
      <c r="D33" s="39" t="inlineStr">
        <is>
          <t>WO40011193OP0090</t>
        </is>
      </c>
      <c r="E33" s="39" t="inlineStr">
        <is>
          <t>40011193</t>
        </is>
      </c>
      <c r="F33" s="39" t="inlineStr">
        <is>
          <t>0090</t>
        </is>
      </c>
      <c r="G33" s="39" t="inlineStr">
        <is>
          <t>Offsite Service of Valve</t>
        </is>
      </c>
      <c r="H33" s="39" t="inlineStr">
        <is>
          <t>ZR03T</t>
        </is>
      </c>
    </row>
    <row r="34">
      <c r="A34" s="39" t="inlineStr">
        <is>
          <t>40012841</t>
        </is>
      </c>
      <c r="B34" s="39" t="inlineStr">
        <is>
          <t>TA-12G406B-Inspection Non-jurisdictional</t>
        </is>
      </c>
      <c r="D34" s="39" t="inlineStr">
        <is>
          <t>WO40011195OP0090</t>
        </is>
      </c>
      <c r="E34" s="39" t="inlineStr">
        <is>
          <t>40011195</t>
        </is>
      </c>
      <c r="F34" s="39" t="inlineStr">
        <is>
          <t>0090</t>
        </is>
      </c>
      <c r="G34" s="39" t="inlineStr">
        <is>
          <t>Offsite Service of Valve</t>
        </is>
      </c>
      <c r="H34" s="39" t="inlineStr">
        <is>
          <t>ZR03T</t>
        </is>
      </c>
    </row>
    <row r="35">
      <c r="A35" s="39" t="inlineStr">
        <is>
          <t>40012858</t>
        </is>
      </c>
      <c r="B35" s="39" t="inlineStr">
        <is>
          <t>TA -C601-Inspection-Clean-Regulatory</t>
        </is>
      </c>
      <c r="D35" s="39" t="inlineStr">
        <is>
          <t>WO40011204OP0100</t>
        </is>
      </c>
      <c r="E35" s="39" t="inlineStr">
        <is>
          <t>40011204</t>
        </is>
      </c>
      <c r="F35" s="39" t="inlineStr">
        <is>
          <t>0100</t>
        </is>
      </c>
      <c r="G35" s="39" t="inlineStr">
        <is>
          <t>Offsite Service of Valve</t>
        </is>
      </c>
      <c r="H35" s="39" t="inlineStr">
        <is>
          <t>ZR03T</t>
        </is>
      </c>
    </row>
    <row r="36">
      <c r="A36" s="39" t="inlineStr">
        <is>
          <t>60009672</t>
        </is>
      </c>
      <c r="B36" s="39" t="inlineStr">
        <is>
          <t>TA-A2-PP-048 2BFW1085 Adjust Pipe</t>
        </is>
      </c>
      <c r="D36" s="39" t="inlineStr">
        <is>
          <t>WO40011212OP0100</t>
        </is>
      </c>
      <c r="E36" s="39" t="inlineStr">
        <is>
          <t>40011212</t>
        </is>
      </c>
      <c r="F36" s="39" t="inlineStr">
        <is>
          <t>0100</t>
        </is>
      </c>
      <c r="G36" s="39" t="inlineStr">
        <is>
          <t>Offsite Service of Valve</t>
        </is>
      </c>
      <c r="H36" s="39" t="inlineStr">
        <is>
          <t>ZR03T</t>
        </is>
      </c>
    </row>
    <row r="37">
      <c r="A37" s="39" t="inlineStr">
        <is>
          <t>60009689</t>
        </is>
      </c>
      <c r="B37" s="39" t="inlineStr">
        <is>
          <t>TA-OLLR-A2-VLV-016 XV5232 Remove Encl</t>
        </is>
      </c>
      <c r="D37" s="39" t="inlineStr">
        <is>
          <t>WO40011214OP0100</t>
        </is>
      </c>
      <c r="E37" s="39" t="inlineStr">
        <is>
          <t>40011214</t>
        </is>
      </c>
      <c r="F37" s="39" t="inlineStr">
        <is>
          <t>0100</t>
        </is>
      </c>
      <c r="G37" s="39" t="inlineStr">
        <is>
          <t>Offsite Service of Valve</t>
        </is>
      </c>
      <c r="H37" s="39" t="inlineStr">
        <is>
          <t>ZR03T</t>
        </is>
      </c>
    </row>
    <row r="38">
      <c r="A38" s="39" t="inlineStr">
        <is>
          <t>60009975</t>
        </is>
      </c>
      <c r="B38" s="39" t="inlineStr">
        <is>
          <t>TA-UR-PP-014 T101 Underground CW Pipe</t>
        </is>
      </c>
      <c r="D38" s="39" t="inlineStr">
        <is>
          <t>WO40011221OP0100</t>
        </is>
      </c>
      <c r="E38" s="39" t="inlineStr">
        <is>
          <t>40011221</t>
        </is>
      </c>
      <c r="F38" s="39" t="inlineStr">
        <is>
          <t>0100</t>
        </is>
      </c>
      <c r="G38" s="39" t="inlineStr">
        <is>
          <t>Offsite Service of Valve</t>
        </is>
      </c>
      <c r="H38" s="39" t="inlineStr">
        <is>
          <t>ZR03T</t>
        </is>
      </c>
    </row>
    <row r="39">
      <c r="A39" s="39" t="inlineStr">
        <is>
          <t>60010151</t>
        </is>
      </c>
      <c r="B39" s="39" t="inlineStr">
        <is>
          <t>TA-UR-PP-006 C1 O2 Analyzer Remove Pipe</t>
        </is>
      </c>
      <c r="D39" s="39" t="inlineStr">
        <is>
          <t>WO40011275OP0131</t>
        </is>
      </c>
      <c r="E39" s="39" t="inlineStr">
        <is>
          <t>40011275</t>
        </is>
      </c>
      <c r="F39" s="39" t="inlineStr">
        <is>
          <t>0131</t>
        </is>
      </c>
      <c r="G39" s="39" t="inlineStr">
        <is>
          <t>Remove Internal scaffold for Inspection</t>
        </is>
      </c>
      <c r="H39" s="39" t="inlineStr">
        <is>
          <t>SC01T</t>
        </is>
      </c>
    </row>
    <row r="40">
      <c r="A40" s="39" t="inlineStr">
        <is>
          <t>60010684</t>
        </is>
      </c>
      <c r="B40" s="39" t="inlineStr">
        <is>
          <t>TA-UR-PP-018 D30 Overflow Pipe Leak</t>
        </is>
      </c>
      <c r="D40" s="39" t="inlineStr">
        <is>
          <t>WO40011340OP0260</t>
        </is>
      </c>
      <c r="E40" s="39" t="inlineStr">
        <is>
          <t>40011340</t>
        </is>
      </c>
      <c r="F40" s="39" t="inlineStr">
        <is>
          <t>0260</t>
        </is>
      </c>
      <c r="G40" s="39" t="inlineStr">
        <is>
          <t>CSE - Erect scaffold inside to access</t>
        </is>
      </c>
      <c r="H40" s="39" t="inlineStr">
        <is>
          <t>SC01T</t>
        </is>
      </c>
    </row>
    <row r="41">
      <c r="A41" s="39" t="inlineStr">
        <is>
          <t>60010769</t>
        </is>
      </c>
      <c r="B41" s="39" t="inlineStr">
        <is>
          <t>TA-UR-VLV-013 E105 Replace Condensate Vl</t>
        </is>
      </c>
      <c r="D41" s="39" t="inlineStr">
        <is>
          <t>WO40011687OP0030</t>
        </is>
      </c>
      <c r="E41" s="39" t="inlineStr">
        <is>
          <t>40011687</t>
        </is>
      </c>
      <c r="F41" s="39" t="inlineStr">
        <is>
          <t>0030</t>
        </is>
      </c>
      <c r="G41" s="39" t="inlineStr">
        <is>
          <t>Remove ACM Insulation from entire head</t>
        </is>
      </c>
      <c r="H41" s="39" t="inlineStr">
        <is>
          <t>IN01T</t>
        </is>
      </c>
    </row>
    <row r="42">
      <c r="A42" s="39" t="inlineStr">
        <is>
          <t>60015208</t>
        </is>
      </c>
      <c r="B42" s="39" t="inlineStr">
        <is>
          <t>TA-D102-Open for Catalyst Change- Inspec</t>
        </is>
      </c>
      <c r="D42" s="39" t="inlineStr">
        <is>
          <t>WO40011687OP0350</t>
        </is>
      </c>
      <c r="E42" s="39" t="inlineStr">
        <is>
          <t>40011687</t>
        </is>
      </c>
      <c r="F42" s="39" t="inlineStr">
        <is>
          <t>0350</t>
        </is>
      </c>
      <c r="G42" s="39" t="inlineStr">
        <is>
          <t>Ensure PSV Nozzle repairs WO# E23-033</t>
        </is>
      </c>
      <c r="H42" s="39" t="inlineStr">
        <is>
          <t>PO01</t>
        </is>
      </c>
    </row>
    <row r="43">
      <c r="A43" s="39" t="inlineStr">
        <is>
          <t>60041037</t>
        </is>
      </c>
      <c r="B43" s="39" t="inlineStr">
        <is>
          <t>TA-A2-PP-025 C110 Replace Blowdown Line</t>
        </is>
      </c>
      <c r="D43" s="39" t="inlineStr">
        <is>
          <t>WO40011725OP0890</t>
        </is>
      </c>
      <c r="E43" s="39" t="inlineStr">
        <is>
          <t>40011725</t>
        </is>
      </c>
      <c r="F43" s="39" t="inlineStr">
        <is>
          <t>0890</t>
        </is>
      </c>
      <c r="G43" s="39" t="inlineStr">
        <is>
          <t>CSE - Install tray manways and remove</t>
        </is>
      </c>
      <c r="H43" s="39" t="inlineStr">
        <is>
          <t>CWVBM02T</t>
        </is>
      </c>
    </row>
    <row r="44">
      <c r="A44" s="39" t="inlineStr">
        <is>
          <t>60043945</t>
        </is>
      </c>
      <c r="B44" s="39" t="inlineStr">
        <is>
          <t>TA 2026 - AM Overhead (Scaffold)</t>
        </is>
      </c>
      <c r="D44" s="39" t="inlineStr">
        <is>
          <t>WO40012304OP0270</t>
        </is>
      </c>
      <c r="E44" s="39" t="inlineStr">
        <is>
          <t>40012304</t>
        </is>
      </c>
      <c r="F44" s="39" t="inlineStr">
        <is>
          <t>0270</t>
        </is>
      </c>
      <c r="G44" s="39" t="inlineStr">
        <is>
          <t>CSE - Remove remaining 2 trays and</t>
        </is>
      </c>
      <c r="H44" s="39" t="inlineStr">
        <is>
          <t>CWVBM01T</t>
        </is>
      </c>
    </row>
    <row r="45">
      <c r="A45" s="39" t="inlineStr">
        <is>
          <t>60043985</t>
        </is>
      </c>
      <c r="B45" s="39" t="inlineStr">
        <is>
          <t>TA 2026 - UR Overhead (Scaffold)</t>
        </is>
      </c>
      <c r="D45" s="39" t="inlineStr">
        <is>
          <t>WO40012304OP0340</t>
        </is>
      </c>
      <c r="E45" s="39" t="inlineStr">
        <is>
          <t>40012304</t>
        </is>
      </c>
      <c r="F45" s="39" t="inlineStr">
        <is>
          <t>0340</t>
        </is>
      </c>
      <c r="G45" s="39" t="inlineStr">
        <is>
          <t>CSE - Install support beams and bottom 2</t>
        </is>
      </c>
      <c r="H45" s="39" t="inlineStr">
        <is>
          <t>CWVBM01T</t>
        </is>
      </c>
    </row>
    <row r="46">
      <c r="A46" s="39" t="inlineStr">
        <is>
          <t>60043993</t>
        </is>
      </c>
      <c r="B46" s="39" t="inlineStr">
        <is>
          <t>TA 2026 - NA Overhead (Scaffold)</t>
        </is>
      </c>
      <c r="D46" s="39" t="inlineStr">
        <is>
          <t>WO40012416OP0700</t>
        </is>
      </c>
      <c r="E46" s="39" t="inlineStr">
        <is>
          <t>40012416</t>
        </is>
      </c>
      <c r="F46" s="39" t="inlineStr">
        <is>
          <t>0700</t>
        </is>
      </c>
      <c r="G46" s="39" t="inlineStr">
        <is>
          <t>Insulate exchanger Head and Shell</t>
        </is>
      </c>
      <c r="H46" s="39" t="inlineStr">
        <is>
          <t>IN01T</t>
        </is>
      </c>
    </row>
    <row r="47">
      <c r="D47" s="39" t="inlineStr">
        <is>
          <t>WO40012452OP0480</t>
        </is>
      </c>
      <c r="E47" s="39" t="inlineStr">
        <is>
          <t>40012452</t>
        </is>
      </c>
      <c r="F47" s="39" t="inlineStr">
        <is>
          <t>0480</t>
        </is>
      </c>
      <c r="G47" s="39" t="inlineStr">
        <is>
          <t>CSE - Install baffles and bolt up Day 1</t>
        </is>
      </c>
      <c r="H47" s="39" t="inlineStr">
        <is>
          <t>CWVBM01T</t>
        </is>
      </c>
    </row>
    <row r="48">
      <c r="D48" s="39" t="inlineStr">
        <is>
          <t>WO40012452OP0490</t>
        </is>
      </c>
      <c r="E48" s="39" t="inlineStr">
        <is>
          <t>40012452</t>
        </is>
      </c>
      <c r="F48" s="39" t="inlineStr">
        <is>
          <t>0490</t>
        </is>
      </c>
      <c r="G48" s="39" t="inlineStr">
        <is>
          <t>CSE - Install baffles and bolt up Day 2</t>
        </is>
      </c>
      <c r="H48" s="39" t="inlineStr">
        <is>
          <t>CWVBM01T</t>
        </is>
      </c>
    </row>
    <row r="49">
      <c r="D49" s="39" t="inlineStr">
        <is>
          <t>WO40012698OP0280</t>
        </is>
      </c>
      <c r="E49" s="39" t="inlineStr">
        <is>
          <t>40012698</t>
        </is>
      </c>
      <c r="F49" s="39" t="inlineStr">
        <is>
          <t>0280</t>
        </is>
      </c>
      <c r="G49" s="39" t="inlineStr">
        <is>
          <t>CSE - Vac out Catalyst from vessel</t>
        </is>
      </c>
      <c r="H49" s="39" t="inlineStr">
        <is>
          <t>CY01T</t>
        </is>
      </c>
    </row>
    <row r="50">
      <c r="D50" s="39" t="inlineStr">
        <is>
          <t>WO40012709OP0020</t>
        </is>
      </c>
      <c r="E50" s="39" t="inlineStr">
        <is>
          <t>40012709</t>
        </is>
      </c>
      <c r="F50" s="39" t="inlineStr">
        <is>
          <t>0020</t>
        </is>
      </c>
      <c r="G50" s="39" t="inlineStr">
        <is>
          <t>Erect Scaffold to VE Blank locations #1</t>
        </is>
      </c>
      <c r="H50" s="39" t="inlineStr">
        <is>
          <t>SC01T</t>
        </is>
      </c>
    </row>
    <row r="51">
      <c r="D51" s="39" t="inlineStr">
        <is>
          <t>WO40012745OP1420</t>
        </is>
      </c>
      <c r="E51" s="39" t="inlineStr">
        <is>
          <t>40012745</t>
        </is>
      </c>
      <c r="F51" s="39" t="inlineStr">
        <is>
          <t>1420</t>
        </is>
      </c>
      <c r="G51" s="39" t="inlineStr">
        <is>
          <t>Install "milk pads" for oil flush</t>
        </is>
      </c>
      <c r="H51" s="39" t="inlineStr">
        <is>
          <t>CPGMW01T</t>
        </is>
      </c>
    </row>
    <row r="52">
      <c r="D52" s="39" t="inlineStr">
        <is>
          <t>WO40012841OP0430</t>
        </is>
      </c>
      <c r="E52" s="39" t="inlineStr">
        <is>
          <t>40012841</t>
        </is>
      </c>
      <c r="F52" s="39" t="inlineStr">
        <is>
          <t>0430</t>
        </is>
      </c>
      <c r="G52" s="39" t="inlineStr">
        <is>
          <t>CSE - Buff for spot UT on floor, shell,</t>
        </is>
      </c>
      <c r="H52" s="39" t="inlineStr">
        <is>
          <t>CWVBM03T</t>
        </is>
      </c>
    </row>
    <row r="53">
      <c r="D53" s="39" t="inlineStr">
        <is>
          <t>WO40012841OP0440</t>
        </is>
      </c>
      <c r="E53" s="39" t="inlineStr">
        <is>
          <t>40012841</t>
        </is>
      </c>
      <c r="F53" s="39" t="inlineStr">
        <is>
          <t>0440</t>
        </is>
      </c>
      <c r="G53" s="39" t="inlineStr">
        <is>
          <t>CSE - Buff for Spot PT on floor to shell</t>
        </is>
      </c>
      <c r="H53" s="39" t="inlineStr">
        <is>
          <t>CWVBM03T</t>
        </is>
      </c>
    </row>
    <row r="54">
      <c r="D54" s="39" t="inlineStr">
        <is>
          <t>WO40012841OP0450</t>
        </is>
      </c>
      <c r="E54" s="39" t="inlineStr">
        <is>
          <t>40012841</t>
        </is>
      </c>
      <c r="F54" s="39" t="inlineStr">
        <is>
          <t>0450</t>
        </is>
      </c>
      <c r="G54" s="39" t="inlineStr">
        <is>
          <t>CSE - Perform spot UT Inspection</t>
        </is>
      </c>
      <c r="H54" s="39" t="inlineStr">
        <is>
          <t>IS02T</t>
        </is>
      </c>
    </row>
    <row r="55">
      <c r="D55" s="39" t="inlineStr">
        <is>
          <t>WO40012841OP0460</t>
        </is>
      </c>
      <c r="E55" s="39" t="inlineStr">
        <is>
          <t>40012841</t>
        </is>
      </c>
      <c r="F55" s="39" t="inlineStr">
        <is>
          <t>0460</t>
        </is>
      </c>
      <c r="G55" s="39" t="inlineStr">
        <is>
          <t>CSE - Perform spot PT Inspection</t>
        </is>
      </c>
      <c r="H55" s="39" t="inlineStr">
        <is>
          <t>IS02T</t>
        </is>
      </c>
    </row>
    <row r="56">
      <c r="D56" s="39" t="inlineStr">
        <is>
          <t>WO40012858OP0710</t>
        </is>
      </c>
      <c r="E56" s="39" t="inlineStr">
        <is>
          <t>40012858</t>
        </is>
      </c>
      <c r="F56" s="39" t="inlineStr">
        <is>
          <t>0710</t>
        </is>
      </c>
      <c r="G56" s="39" t="inlineStr">
        <is>
          <t>Install insulation on  entire exchanger</t>
        </is>
      </c>
      <c r="H56" s="39" t="inlineStr">
        <is>
          <t>IN01T</t>
        </is>
      </c>
    </row>
    <row r="57">
      <c r="D57" s="39" t="inlineStr">
        <is>
          <t>WO60009672OP0010</t>
        </is>
      </c>
      <c r="E57" s="39" t="inlineStr">
        <is>
          <t>60009672</t>
        </is>
      </c>
      <c r="F57" s="39" t="inlineStr">
        <is>
          <t>0010</t>
        </is>
      </c>
      <c r="G57" s="39" t="inlineStr">
        <is>
          <t>Erect Scaffold for Pipe and Rigging</t>
        </is>
      </c>
      <c r="H57" s="39" t="inlineStr">
        <is>
          <t>SC01T</t>
        </is>
      </c>
    </row>
    <row r="58">
      <c r="D58" s="39" t="inlineStr">
        <is>
          <t>WO60009672OP0050</t>
        </is>
      </c>
      <c r="E58" s="39" t="inlineStr">
        <is>
          <t>60009672</t>
        </is>
      </c>
      <c r="F58" s="39" t="inlineStr">
        <is>
          <t>0050</t>
        </is>
      </c>
      <c r="G58" s="39" t="inlineStr">
        <is>
          <t>Remove Scaffold</t>
        </is>
      </c>
      <c r="H58" s="39" t="inlineStr">
        <is>
          <t>SC01T</t>
        </is>
      </c>
    </row>
    <row r="59">
      <c r="D59" s="39" t="inlineStr">
        <is>
          <t>WO60009689OP0010</t>
        </is>
      </c>
      <c r="E59" s="39" t="inlineStr">
        <is>
          <t>60009689</t>
        </is>
      </c>
      <c r="F59" s="39" t="inlineStr">
        <is>
          <t>0010</t>
        </is>
      </c>
      <c r="G59" s="39" t="inlineStr">
        <is>
          <t>Erect Scaffold to Access Check Valve</t>
        </is>
      </c>
      <c r="H59" s="39" t="inlineStr">
        <is>
          <t>SC01T</t>
        </is>
      </c>
    </row>
    <row r="60">
      <c r="D60" s="39" t="inlineStr">
        <is>
          <t>WO60009975OP0020</t>
        </is>
      </c>
      <c r="E60" s="39" t="inlineStr">
        <is>
          <t>60009975</t>
        </is>
      </c>
      <c r="F60" s="39" t="inlineStr">
        <is>
          <t>0020</t>
        </is>
      </c>
      <c r="G60" s="39" t="inlineStr">
        <is>
          <t>Excavate to Explore Underground Leaks</t>
        </is>
      </c>
      <c r="H60" s="39" t="inlineStr">
        <is>
          <t>LB01T</t>
        </is>
      </c>
    </row>
    <row r="61">
      <c r="D61" s="39" t="inlineStr">
        <is>
          <t>WO60010151OP0010</t>
        </is>
      </c>
      <c r="E61" s="39" t="inlineStr">
        <is>
          <t>60010151</t>
        </is>
      </c>
      <c r="F61" s="39" t="inlineStr">
        <is>
          <t>0010</t>
        </is>
      </c>
      <c r="G61" s="39" t="inlineStr">
        <is>
          <t>Erect Scaffold</t>
        </is>
      </c>
      <c r="H61" s="39" t="inlineStr">
        <is>
          <t>SC01T</t>
        </is>
      </c>
    </row>
    <row r="62">
      <c r="D62" s="39" t="inlineStr">
        <is>
          <t>WO60010684OP0020</t>
        </is>
      </c>
      <c r="E62" s="39" t="inlineStr">
        <is>
          <t>60010684</t>
        </is>
      </c>
      <c r="F62" s="39" t="inlineStr">
        <is>
          <t>0020</t>
        </is>
      </c>
      <c r="G62" s="39" t="inlineStr">
        <is>
          <t>Excavate to Explore Underground Leaks</t>
        </is>
      </c>
      <c r="H62" s="39" t="inlineStr">
        <is>
          <t>LB01T</t>
        </is>
      </c>
    </row>
    <row r="63">
      <c r="D63" s="39" t="inlineStr">
        <is>
          <t>WO60010769OP0010</t>
        </is>
      </c>
      <c r="E63" s="39" t="inlineStr">
        <is>
          <t>60010769</t>
        </is>
      </c>
      <c r="F63" s="39" t="inlineStr">
        <is>
          <t>0010</t>
        </is>
      </c>
      <c r="G63" s="39" t="inlineStr">
        <is>
          <t>Erect Scaffold</t>
        </is>
      </c>
      <c r="H63" s="39" t="inlineStr">
        <is>
          <t>SC01T</t>
        </is>
      </c>
    </row>
    <row r="64">
      <c r="D64" s="39" t="inlineStr">
        <is>
          <t>WO60015208OP0300</t>
        </is>
      </c>
      <c r="E64" s="39" t="inlineStr">
        <is>
          <t>60015208</t>
        </is>
      </c>
      <c r="F64" s="39" t="inlineStr">
        <is>
          <t>0300</t>
        </is>
      </c>
      <c r="G64" s="39" t="inlineStr">
        <is>
          <t>CSE - Vac out Catalyst from vessel</t>
        </is>
      </c>
      <c r="H64" s="39" t="inlineStr">
        <is>
          <t>CY01T</t>
        </is>
      </c>
    </row>
    <row r="65">
      <c r="D65" s="39" t="inlineStr">
        <is>
          <t>WO60041037OP0010</t>
        </is>
      </c>
      <c r="E65" s="39" t="inlineStr">
        <is>
          <t>60041037</t>
        </is>
      </c>
      <c r="F65" s="39" t="inlineStr">
        <is>
          <t>0010</t>
        </is>
      </c>
      <c r="G65" s="39" t="inlineStr">
        <is>
          <t>Erect Scaffold</t>
        </is>
      </c>
      <c r="H65" s="39" t="inlineStr">
        <is>
          <t>CKGSC01T</t>
        </is>
      </c>
    </row>
    <row r="66">
      <c r="D66" s="39" t="inlineStr">
        <is>
          <t>WO60043945OP0020</t>
        </is>
      </c>
      <c r="E66" s="39" t="inlineStr">
        <is>
          <t>60043945</t>
        </is>
      </c>
      <c r="F66" s="39" t="inlineStr">
        <is>
          <t>0020</t>
        </is>
      </c>
      <c r="G66" s="39" t="inlineStr">
        <is>
          <t>Pre TA (Mobilize - 2wks)</t>
        </is>
      </c>
      <c r="H66" s="39" t="inlineStr">
        <is>
          <t>ES01T</t>
        </is>
      </c>
    </row>
    <row r="67">
      <c r="D67" s="39" t="inlineStr">
        <is>
          <t>WO60043945OP0030</t>
        </is>
      </c>
      <c r="E67" s="39" t="inlineStr">
        <is>
          <t>60043945</t>
        </is>
      </c>
      <c r="F67" s="39" t="inlineStr">
        <is>
          <t>0030</t>
        </is>
      </c>
      <c r="G67" s="39" t="inlineStr">
        <is>
          <t>Pre TA (Full - 9wks)</t>
        </is>
      </c>
      <c r="H67" s="39" t="inlineStr">
        <is>
          <t>ES01T</t>
        </is>
      </c>
    </row>
    <row r="68">
      <c r="D68" s="39" t="inlineStr">
        <is>
          <t>WO60043945OP0050</t>
        </is>
      </c>
      <c r="E68" s="39" t="inlineStr">
        <is>
          <t>60043945</t>
        </is>
      </c>
      <c r="F68" s="39" t="inlineStr">
        <is>
          <t>0050</t>
        </is>
      </c>
      <c r="G68" s="39" t="inlineStr">
        <is>
          <t>Pre TA Wknd (10hr - Days)</t>
        </is>
      </c>
      <c r="H68" s="39" t="inlineStr">
        <is>
          <t>ES01T</t>
        </is>
      </c>
    </row>
    <row r="69">
      <c r="D69" s="39" t="inlineStr">
        <is>
          <t>WO60043945OP0080</t>
        </is>
      </c>
      <c r="E69" s="39" t="inlineStr">
        <is>
          <t>60043945</t>
        </is>
      </c>
      <c r="F69" s="39" t="inlineStr">
        <is>
          <t>0080</t>
        </is>
      </c>
      <c r="G69" s="39" t="inlineStr">
        <is>
          <t>TA Days (13hr - Days)</t>
        </is>
      </c>
      <c r="H69" s="39" t="inlineStr">
        <is>
          <t>ES01T</t>
        </is>
      </c>
    </row>
    <row r="70">
      <c r="D70" s="39" t="inlineStr">
        <is>
          <t>WO60043945OP0090</t>
        </is>
      </c>
      <c r="E70" s="39" t="inlineStr">
        <is>
          <t>60043945</t>
        </is>
      </c>
      <c r="F70" s="39" t="inlineStr">
        <is>
          <t>0090</t>
        </is>
      </c>
      <c r="G70" s="39" t="inlineStr">
        <is>
          <t>TA Days (10hr - Days)</t>
        </is>
      </c>
      <c r="H70" s="39" t="inlineStr">
        <is>
          <t>ES01T</t>
        </is>
      </c>
    </row>
    <row r="71">
      <c r="D71" s="39" t="inlineStr">
        <is>
          <t>WO60043945OP0100</t>
        </is>
      </c>
      <c r="E71" s="39" t="inlineStr">
        <is>
          <t>60043945</t>
        </is>
      </c>
      <c r="F71" s="39" t="inlineStr">
        <is>
          <t>0100</t>
        </is>
      </c>
      <c r="G71" s="39" t="inlineStr">
        <is>
          <t>TA Nights (13hr - Nights)</t>
        </is>
      </c>
      <c r="H71" s="39" t="inlineStr">
        <is>
          <t>ES01T</t>
        </is>
      </c>
    </row>
    <row r="72">
      <c r="D72" s="39" t="inlineStr">
        <is>
          <t>WO60043945OP0110</t>
        </is>
      </c>
      <c r="E72" s="39" t="inlineStr">
        <is>
          <t>60043945</t>
        </is>
      </c>
      <c r="F72" s="39" t="inlineStr">
        <is>
          <t>0110</t>
        </is>
      </c>
      <c r="G72" s="39" t="inlineStr">
        <is>
          <t>TA Nights (10hr - Nights)</t>
        </is>
      </c>
      <c r="H72" s="39" t="inlineStr">
        <is>
          <t>ES01T</t>
        </is>
      </c>
    </row>
    <row r="73">
      <c r="D73" s="39" t="inlineStr">
        <is>
          <t>WO60043945OP0120</t>
        </is>
      </c>
      <c r="E73" s="39" t="inlineStr">
        <is>
          <t>60043945</t>
        </is>
      </c>
      <c r="F73" s="39" t="inlineStr">
        <is>
          <t>0120</t>
        </is>
      </c>
      <c r="G73" s="39" t="inlineStr">
        <is>
          <t>Post TA (Days)</t>
        </is>
      </c>
      <c r="H73" s="39" t="inlineStr">
        <is>
          <t>ES01T</t>
        </is>
      </c>
    </row>
    <row r="74">
      <c r="D74" s="39" t="inlineStr">
        <is>
          <t>WO60043985OP0020</t>
        </is>
      </c>
      <c r="E74" s="39" t="inlineStr">
        <is>
          <t>60043985</t>
        </is>
      </c>
      <c r="F74" s="39" t="inlineStr">
        <is>
          <t>0020</t>
        </is>
      </c>
      <c r="G74" s="39" t="inlineStr">
        <is>
          <t>Pre TA (Mobilize - 2wks)</t>
        </is>
      </c>
      <c r="H74" s="39" t="inlineStr">
        <is>
          <t>ES01T</t>
        </is>
      </c>
    </row>
    <row r="75">
      <c r="D75" s="39" t="inlineStr">
        <is>
          <t>WO60043985OP0030</t>
        </is>
      </c>
      <c r="E75" s="39" t="inlineStr">
        <is>
          <t>60043985</t>
        </is>
      </c>
      <c r="F75" s="39" t="inlineStr">
        <is>
          <t>0030</t>
        </is>
      </c>
      <c r="G75" s="39" t="inlineStr">
        <is>
          <t>Pre TA (Full - 9wks)</t>
        </is>
      </c>
      <c r="H75" s="39" t="inlineStr">
        <is>
          <t>ES01T</t>
        </is>
      </c>
    </row>
    <row r="76">
      <c r="D76" s="39" t="inlineStr">
        <is>
          <t>WO60043985OP0080</t>
        </is>
      </c>
      <c r="E76" s="39" t="inlineStr">
        <is>
          <t>60043985</t>
        </is>
      </c>
      <c r="F76" s="39" t="inlineStr">
        <is>
          <t>0080</t>
        </is>
      </c>
      <c r="G76" s="39" t="inlineStr">
        <is>
          <t>TA Days (13hr - Days)</t>
        </is>
      </c>
      <c r="H76" s="39" t="inlineStr">
        <is>
          <t>ES01T</t>
        </is>
      </c>
    </row>
    <row r="77">
      <c r="D77" s="39" t="inlineStr">
        <is>
          <t>WO60043985OP0090</t>
        </is>
      </c>
      <c r="E77" s="39" t="inlineStr">
        <is>
          <t>60043985</t>
        </is>
      </c>
      <c r="F77" s="39" t="inlineStr">
        <is>
          <t>0090</t>
        </is>
      </c>
      <c r="G77" s="39" t="inlineStr">
        <is>
          <t>TA Days (10hr - Days)</t>
        </is>
      </c>
      <c r="H77" s="39" t="inlineStr">
        <is>
          <t>ES01T</t>
        </is>
      </c>
    </row>
    <row r="78">
      <c r="D78" s="39" t="inlineStr">
        <is>
          <t>WO60043985OP0100</t>
        </is>
      </c>
      <c r="E78" s="39" t="inlineStr">
        <is>
          <t>60043985</t>
        </is>
      </c>
      <c r="F78" s="39" t="inlineStr">
        <is>
          <t>0100</t>
        </is>
      </c>
      <c r="G78" s="39" t="inlineStr">
        <is>
          <t>TA Nights (13hr - Nights)</t>
        </is>
      </c>
      <c r="H78" s="39" t="inlineStr">
        <is>
          <t>ES01T</t>
        </is>
      </c>
    </row>
    <row r="79">
      <c r="D79" s="39" t="inlineStr">
        <is>
          <t>WO60043985OP0110</t>
        </is>
      </c>
      <c r="E79" s="39" t="inlineStr">
        <is>
          <t>60043985</t>
        </is>
      </c>
      <c r="F79" s="39" t="inlineStr">
        <is>
          <t>0110</t>
        </is>
      </c>
      <c r="G79" s="39" t="inlineStr">
        <is>
          <t>TA Nights (10hr - Nights)</t>
        </is>
      </c>
      <c r="H79" s="39" t="inlineStr">
        <is>
          <t>ES01T</t>
        </is>
      </c>
    </row>
    <row r="80">
      <c r="D80" s="39" t="inlineStr">
        <is>
          <t>WO60043985OP0120</t>
        </is>
      </c>
      <c r="E80" s="39" t="inlineStr">
        <is>
          <t>60043985</t>
        </is>
      </c>
      <c r="F80" s="39" t="inlineStr">
        <is>
          <t>0120</t>
        </is>
      </c>
      <c r="G80" s="39" t="inlineStr">
        <is>
          <t>Post TA (Days)</t>
        </is>
      </c>
      <c r="H80" s="39" t="inlineStr">
        <is>
          <t>ES01T</t>
        </is>
      </c>
    </row>
    <row r="81">
      <c r="D81" s="39" t="inlineStr">
        <is>
          <t>WO60043993OP0020</t>
        </is>
      </c>
      <c r="E81" s="39" t="inlineStr">
        <is>
          <t>60043993</t>
        </is>
      </c>
      <c r="F81" s="39" t="inlineStr">
        <is>
          <t>0020</t>
        </is>
      </c>
      <c r="G81" s="39" t="inlineStr">
        <is>
          <t>Pre TA (Mobilize - 2wks)</t>
        </is>
      </c>
      <c r="H81" s="39" t="inlineStr">
        <is>
          <t>ES01T</t>
        </is>
      </c>
    </row>
    <row r="82">
      <c r="D82" s="39" t="inlineStr">
        <is>
          <t>WO60043993OP0030</t>
        </is>
      </c>
      <c r="E82" s="39" t="inlineStr">
        <is>
          <t>60043993</t>
        </is>
      </c>
      <c r="F82" s="39" t="inlineStr">
        <is>
          <t>0030</t>
        </is>
      </c>
      <c r="G82" s="39" t="inlineStr">
        <is>
          <t>Pre TA (Full - 9wks)</t>
        </is>
      </c>
      <c r="H82" s="39" t="inlineStr">
        <is>
          <t>ES01T</t>
        </is>
      </c>
    </row>
    <row r="83">
      <c r="D83" s="39" t="inlineStr">
        <is>
          <t>WO60043993OP0080</t>
        </is>
      </c>
      <c r="E83" s="39" t="inlineStr">
        <is>
          <t>60043993</t>
        </is>
      </c>
      <c r="F83" s="39" t="inlineStr">
        <is>
          <t>0080</t>
        </is>
      </c>
      <c r="G83" s="39" t="inlineStr">
        <is>
          <t>TA Days (13hr - Days)</t>
        </is>
      </c>
      <c r="H83" s="39" t="inlineStr">
        <is>
          <t>ES01T</t>
        </is>
      </c>
    </row>
    <row r="84">
      <c r="D84" s="39" t="inlineStr">
        <is>
          <t>WO60043993OP0090</t>
        </is>
      </c>
      <c r="E84" s="39" t="inlineStr">
        <is>
          <t>60043993</t>
        </is>
      </c>
      <c r="F84" s="39" t="inlineStr">
        <is>
          <t>0090</t>
        </is>
      </c>
      <c r="G84" s="39" t="inlineStr">
        <is>
          <t>TA Days (10hr - Days)</t>
        </is>
      </c>
      <c r="H84" s="39" t="inlineStr">
        <is>
          <t>ES01T</t>
        </is>
      </c>
    </row>
    <row r="85">
      <c r="D85" s="39" t="inlineStr">
        <is>
          <t>WO60043993OP0100</t>
        </is>
      </c>
      <c r="E85" s="39" t="inlineStr">
        <is>
          <t>60043993</t>
        </is>
      </c>
      <c r="F85" s="39" t="inlineStr">
        <is>
          <t>0100</t>
        </is>
      </c>
      <c r="G85" s="39" t="inlineStr">
        <is>
          <t>TA Nights (13hr - Nights)</t>
        </is>
      </c>
      <c r="H85" s="39" t="inlineStr">
        <is>
          <t>ES01T</t>
        </is>
      </c>
    </row>
    <row r="86">
      <c r="D86" s="39" t="inlineStr">
        <is>
          <t>WO60043993OP0110</t>
        </is>
      </c>
      <c r="E86" s="39" t="inlineStr">
        <is>
          <t>60043993</t>
        </is>
      </c>
      <c r="F86" s="39" t="inlineStr">
        <is>
          <t>0110</t>
        </is>
      </c>
      <c r="G86" s="39" t="inlineStr">
        <is>
          <t>TA Nights (10hr - Nights)</t>
        </is>
      </c>
      <c r="H86" s="39" t="inlineStr">
        <is>
          <t>ES01T</t>
        </is>
      </c>
    </row>
    <row r="87">
      <c r="D87" s="39" t="inlineStr">
        <is>
          <t>WO60043993OP0120</t>
        </is>
      </c>
      <c r="E87" s="39" t="inlineStr">
        <is>
          <t>60043993</t>
        </is>
      </c>
      <c r="F87" s="39" t="inlineStr">
        <is>
          <t>0120</t>
        </is>
      </c>
      <c r="G87" s="39" t="inlineStr">
        <is>
          <t>Post TA (Days)</t>
        </is>
      </c>
      <c r="H87" s="39" t="inlineStr">
        <is>
          <t>ES01T</t>
        </is>
      </c>
    </row>
  </sheetData>
  <mergeCells count="2">
    <mergeCell ref="D1:H1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40" t="inlineStr">
        <is>
          <t>CF Turnaround Timesheet — FAQ</t>
        </is>
      </c>
    </row>
    <row r="3" ht="20" customHeight="1">
      <c r="B3" s="41" t="inlineStr">
        <is>
          <t>How the sheet works</t>
        </is>
      </c>
    </row>
    <row r="4" ht="30" customHeight="1">
      <c r="B4" s="42" t="inlineStr">
        <is>
          <t>• One sheet = one Vendor, one Date, one Shift (set them at the top). Use a new sheet/file per date or shift.</t>
        </is>
      </c>
    </row>
    <row r="5" ht="15" customHeight="1">
      <c r="B5" s="42" t="inlineStr">
        <is>
          <t>• Fill only YELLOW cells. Everything else is locked so formulas can't be broken.</t>
        </is>
      </c>
    </row>
    <row r="6" ht="30" customHeight="1">
      <c r="B6" s="42" t="inlineStr">
        <is>
          <t>• Each row is one employee against one Work Order. If a person worked several WOs, use one row per WO.</t>
        </is>
      </c>
    </row>
    <row r="8" ht="20" customHeight="1">
      <c r="B8" s="41" t="inlineStr">
        <is>
          <t>PO, Work Order &amp; OP Steps</t>
        </is>
      </c>
    </row>
    <row r="9" ht="30" customHeight="1">
      <c r="B9" s="42" t="inlineStr">
        <is>
          <t>• Pick the PO/Job and WO ID from the dropdowns (sourced from the Reference / Work Orders tabs). WO Name auto-fills.</t>
        </is>
      </c>
    </row>
    <row r="10" ht="15" customHeight="1">
      <c r="B10" s="42" t="inlineStr">
        <is>
          <t>• In 'OP Steps' list the operation steps for that WO, comma-separated: e.g. 0392, 0395, 0396.</t>
        </is>
      </c>
    </row>
    <row r="11" ht="30" customHeight="1">
      <c r="B11" s="42" t="inlineStr">
        <is>
          <t>• Enter DT and RT hours for the row; Total adds them. Hours get split across the op steps downstream (BI).</t>
        </is>
      </c>
    </row>
    <row r="12" ht="30" customHeight="1">
      <c r="B12" s="42" t="inlineStr">
        <is>
          <t>• The hidden 'WOOP Export Key' builds WO&lt;id&gt;OP&lt;step&gt;,OP&lt;step&gt;… — the exact string the split process reads.</t>
        </is>
      </c>
    </row>
    <row r="14" ht="20" customHeight="1">
      <c r="B14" s="41" t="inlineStr">
        <is>
          <t>Vendors, employees, trades, POs</t>
        </is>
      </c>
    </row>
    <row r="15" ht="15" customHeight="1">
      <c r="B15" s="42" t="inlineStr">
        <is>
          <t>• Add vendors on Reference ▸ VENDORS (Name + ID → 'Name - ID' shows in the header dropdown).</t>
        </is>
      </c>
    </row>
    <row r="16" ht="30" customHeight="1">
      <c r="B16" s="42" t="inlineStr">
        <is>
          <t>• Add employees, trades (SAP code - name) and POs in their Reference blocks; dropdowns update automatically.</t>
        </is>
      </c>
    </row>
    <row r="17" ht="15" customHeight="1">
      <c r="B17" s="42" t="inlineStr">
        <is>
          <t>• A red cell means the value isn't in Reference / Work Orders yet — add it there.</t>
        </is>
      </c>
    </row>
    <row r="19" ht="20" customHeight="1">
      <c r="B19" s="41" t="inlineStr">
        <is>
          <t>Protection &amp; reconciliation</t>
        </is>
      </c>
    </row>
    <row r="20" ht="30" customHeight="1">
      <c r="B20" s="42" t="inlineStr">
        <is>
          <t>• The sheet is protected with NO password — it only stops accidental edits of locked cells. To change layout, Review ▸ Unprotect Sheet.</t>
        </is>
      </c>
    </row>
    <row r="21" ht="30" customHeight="1">
      <c r="B21" s="42" t="inlineStr">
        <is>
          <t>• The RECONCILIATION columns (Lenel Hrs, Deviation, Swipe Reason, Hold Up) are hidden to the right. Unhide columns N:Q to use them; Deviation (Total − Lenel) turns red when it isn't zero.</t>
        </is>
      </c>
    </row>
    <row r="22" ht="15" customHeight="1">
      <c r="B22" s="42" t="inlineStr">
        <is>
          <t>• Time-charged vs swipe comparison is also done in Power BI.</t>
        </is>
      </c>
    </row>
    <row r="24" ht="20" customHeight="1">
      <c r="B24" s="41" t="inlineStr">
        <is>
          <t>Daily workflow</t>
        </is>
      </c>
    </row>
    <row r="25" ht="45" customHeight="1">
      <c r="B25" s="42" t="inlineStr">
        <is>
          <t>1. Planner pulls IW37N/IW29 → Work Orders + OP master.  2. Pull Lenel swipes.  3. Vendors submit timesheets.  4. Refresh Power BI.  5. Clear red flags &amp; swipe deviations.  6. Split hours to op steps.  7. Export / pivot for approvals.  8. Upload to SAP.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2026-07-22T17:44:39Z</dcterms:created>
  <dcterms:modified xsi:type="dcterms:W3CDTF">2026-07-22T17:44:39Z</dcterms:modified>
</cp:coreProperties>
</file>