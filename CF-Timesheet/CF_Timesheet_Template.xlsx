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mesheet" sheetId="1" state="visible" r:id="rId1"/>
    <sheet name="Reference" sheetId="2" state="visible" r:id="rId2"/>
    <sheet name="Work Orders" sheetId="3" state="visible" r:id="rId3"/>
    <sheet name="FAQ" sheetId="4" state="visible" r:id="rId4"/>
  </sheets>
  <definedNames>
    <definedName name="EmpNames">Reference!$A$3:$A$203</definedName>
    <definedName name="EmpTable">Reference!$A$3:$D$203</definedName>
    <definedName name="TradeNames">Reference!$F$3:$F$203</definedName>
    <definedName name="TradeTable">Reference!$F$3:$I$203</definedName>
    <definedName name="ShiftList">Reference!$K$3:$K$4</definedName>
    <definedName name="LocList">Reference!$L$3:$L$5</definedName>
    <definedName name="SwipeList">Reference!$M$3:$M$8</definedName>
    <definedName name="HoldUpList">Reference!$N$3:$N$13</definedName>
    <definedName name="WOList">'Work Orders'!$A$3:$A$73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;[Red]-0.0"/>
    <numFmt numFmtId="166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015846"/>
      <sz val="20"/>
    </font>
    <font>
      <name val="Calibri"/>
      <i val="1"/>
      <color rgb="00808080"/>
      <sz val="10"/>
    </font>
    <font>
      <name val="Calibri"/>
      <b val="1"/>
      <color rgb="00BF8F00"/>
      <sz val="10"/>
    </font>
    <font>
      <name val="Calibri"/>
      <i val="1"/>
      <color rgb="00808080"/>
      <sz val="9"/>
    </font>
    <font>
      <name val="Calibri"/>
      <b val="1"/>
      <color rgb="00015846"/>
      <sz val="10"/>
    </font>
    <font>
      <b val="1"/>
    </font>
    <font>
      <name val="Calibri"/>
      <b val="1"/>
      <color rgb="00FFFFFF"/>
      <sz val="11"/>
    </font>
    <font>
      <i val="1"/>
      <color rgb="00BF8F00"/>
      <sz val="9"/>
    </font>
    <font>
      <sz val="10"/>
    </font>
    <font>
      <b val="1"/>
      <color rgb="00015846"/>
    </font>
    <font>
      <b val="1"/>
      <color rgb="00FFFFFF"/>
      <sz val="10"/>
    </font>
    <font>
      <b val="1"/>
      <color rgb="00015846"/>
      <sz val="16"/>
    </font>
    <font>
      <b val="1"/>
      <color rgb="0000C7B1"/>
      <sz val="12"/>
    </font>
    <font>
      <sz val="11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013D30"/>
      </patternFill>
    </fill>
    <fill>
      <patternFill patternType="solid">
        <fgColor rgb="00FFE699"/>
      </patternFill>
    </fill>
    <fill>
      <patternFill patternType="solid">
        <fgColor rgb="0001584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3" fillId="2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4" fillId="2" borderId="0" pivotButton="0" quotePrefix="0" xfId="0"/>
    <xf numFmtId="0" fontId="2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right" vertical="center"/>
    </xf>
    <xf numFmtId="164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/>
    </xf>
    <xf numFmtId="0" fontId="10" fillId="4" borderId="1" pivotButton="0" quotePrefix="0" xfId="0"/>
    <xf numFmtId="166" fontId="6" fillId="4" borderId="1" pivotButton="0" quotePrefix="0" xfId="0"/>
    <xf numFmtId="0" fontId="5" fillId="0" borderId="0" pivotButton="0" quotePrefix="0" xfId="0"/>
    <xf numFmtId="0" fontId="0" fillId="3" borderId="1" applyAlignment="1" pivotButton="0" quotePrefix="0" xfId="0">
      <alignment horizontal="left" vertical="top" wrapText="1"/>
    </xf>
    <xf numFmtId="0" fontId="7" fillId="7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/>
    </xf>
    <xf numFmtId="0" fontId="0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1428750" cy="838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2" customWidth="1" min="2" max="2"/>
    <col width="10" customWidth="1" min="3" max="3"/>
    <col width="24" customWidth="1" min="4" max="4"/>
    <col width="9" customWidth="1" min="5" max="5"/>
    <col width="14" customWidth="1" min="6" max="6"/>
    <col width="34" customWidth="1" min="7" max="7"/>
    <col width="9" customWidth="1" min="8" max="8"/>
    <col width="9" customWidth="1" min="9" max="9"/>
    <col width="9" customWidth="1" min="10" max="10"/>
    <col width="13" customWidth="1" min="11" max="11"/>
    <col width="12" customWidth="1" min="12" max="12"/>
    <col width="10" customWidth="1" min="13" max="13"/>
    <col width="20" customWidth="1" min="14" max="14"/>
    <col width="18" customWidth="1" min="15" max="15"/>
    <col width="26" customWidth="1" min="16" max="16"/>
  </cols>
  <sheetData>
    <row r="1" ht="18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2" t="inlineStr">
        <is>
          <t>Populate the YELLOW cells</t>
        </is>
      </c>
    </row>
    <row r="2">
      <c r="B2" s="1" t="n"/>
      <c r="C2" s="1" t="n"/>
      <c r="D2" s="1" t="n"/>
      <c r="E2" s="1" t="n"/>
      <c r="F2" s="3" t="inlineStr">
        <is>
          <t>TURNAROUND TIME ENTRY</t>
        </is>
      </c>
      <c r="N2" s="4" t="inlineStr">
        <is>
          <t>Official CF logo (from CF_TA Shop Fab.pbix)</t>
        </is>
      </c>
    </row>
    <row r="3">
      <c r="B3" s="1" t="n"/>
      <c r="C3" s="1" t="n"/>
      <c r="D3" s="1" t="n"/>
      <c r="E3" s="1" t="n"/>
      <c r="F3" s="5" t="inlineStr">
        <is>
          <t>CF Industries  •  Shop / Fab  •  Ver. 1.0 (draft)</t>
        </is>
      </c>
      <c r="N3" s="1" t="n"/>
      <c r="O3" s="1" t="n"/>
      <c r="P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 ht="20" customHeight="1">
      <c r="B6" s="6" t="inlineStr">
        <is>
          <t>Date</t>
        </is>
      </c>
      <c r="C6" s="7" t="n"/>
      <c r="E6" s="6" t="inlineStr">
        <is>
          <t>TA / Revision</t>
        </is>
      </c>
      <c r="F6" s="8" t="n"/>
      <c r="H6" s="9" t="inlineStr">
        <is>
          <t>WORK ORDER</t>
        </is>
      </c>
    </row>
    <row r="7" ht="22" customHeight="1">
      <c r="B7" s="6" t="inlineStr">
        <is>
          <t>Shift</t>
        </is>
      </c>
      <c r="C7" s="8" t="n"/>
      <c r="E7" s="6" t="inlineStr">
        <is>
          <t>Posting Date</t>
        </is>
      </c>
      <c r="F7" s="7" t="n"/>
      <c r="H7" s="10" t="inlineStr">
        <is>
          <t>Enter SAP work order # and details here (free text OK — this box expands)</t>
        </is>
      </c>
    </row>
    <row r="8" ht="26" customHeight="1">
      <c r="B8" s="6" t="inlineStr">
        <is>
          <t>Client</t>
        </is>
      </c>
      <c r="C8" s="11" t="inlineStr">
        <is>
          <t>CF Industries</t>
        </is>
      </c>
      <c r="E8" s="6" t="inlineStr">
        <is>
          <t>Prepared By</t>
        </is>
      </c>
      <c r="F8" s="8" t="n"/>
    </row>
    <row r="11" ht="30" customHeight="1">
      <c r="B11" s="12" t="inlineStr">
        <is>
          <t>Employee Name</t>
        </is>
      </c>
      <c r="C11" s="12" t="inlineStr">
        <is>
          <t>CF ID</t>
        </is>
      </c>
      <c r="D11" s="12" t="inlineStr">
        <is>
          <t>Trade / Position</t>
        </is>
      </c>
      <c r="E11" s="12" t="inlineStr">
        <is>
          <t>Activity
Type</t>
        </is>
      </c>
      <c r="F11" s="12" t="inlineStr">
        <is>
          <t>Work Order</t>
        </is>
      </c>
      <c r="G11" s="12" t="inlineStr">
        <is>
          <t>Work Order Description</t>
        </is>
      </c>
      <c r="H11" s="12" t="inlineStr">
        <is>
          <t>Total
Hours</t>
        </is>
      </c>
      <c r="I11" s="12" t="inlineStr">
        <is>
          <t>RT
Hrs</t>
        </is>
      </c>
      <c r="J11" s="12" t="inlineStr">
        <is>
          <t>DT
Hrs</t>
        </is>
      </c>
      <c r="K11" s="12" t="inlineStr">
        <is>
          <t>Work Location</t>
        </is>
      </c>
      <c r="L11" s="12" t="inlineStr">
        <is>
          <t>Lenel
Hours</t>
        </is>
      </c>
      <c r="M11" s="12" t="inlineStr">
        <is>
          <t>Deviation</t>
        </is>
      </c>
      <c r="N11" s="12" t="inlineStr">
        <is>
          <t>Swipe Deviation Reason</t>
        </is>
      </c>
      <c r="O11" s="12" t="inlineStr">
        <is>
          <t>Hold Up Type</t>
        </is>
      </c>
      <c r="P11" s="12" t="inlineStr">
        <is>
          <t>Notes</t>
        </is>
      </c>
    </row>
    <row r="12" ht="18" customHeight="1">
      <c r="A12" t="inlineStr">
        <is>
          <t>Labor</t>
        </is>
      </c>
      <c r="B12" s="13" t="n"/>
      <c r="C12" s="14">
        <f>IFERROR(IF($B12="","",VLOOKUP($B12,EmpTable,2,FALSE)),"?")</f>
        <v/>
      </c>
      <c r="D12" s="15" t="n"/>
      <c r="E12" s="14">
        <f>IFERROR(IF($D12="","",VLOOKUP($D12,TradeTable,2,FALSE)),"?")</f>
        <v/>
      </c>
      <c r="F12" s="13" t="n"/>
      <c r="G12" s="16" t="n"/>
      <c r="H12" s="13" t="n"/>
      <c r="I12" s="13" t="n"/>
      <c r="J12" s="13" t="n"/>
      <c r="K12" s="13" t="n"/>
      <c r="L12" s="13" t="n"/>
      <c r="M12" s="17">
        <f>IF(OR($H12="",$L12=""),"",$H12-$L12)</f>
        <v/>
      </c>
      <c r="N12" s="16" t="n"/>
      <c r="O12" s="13" t="n"/>
      <c r="P12" s="16" t="n"/>
    </row>
    <row r="13" ht="18" customHeight="1">
      <c r="A13" t="inlineStr">
        <is>
          <t>Labor</t>
        </is>
      </c>
      <c r="B13" s="13" t="n"/>
      <c r="C13" s="14">
        <f>IFERROR(IF($B13="","",VLOOKUP($B13,EmpTable,2,FALSE)),"?")</f>
        <v/>
      </c>
      <c r="D13" s="15" t="n"/>
      <c r="E13" s="14">
        <f>IFERROR(IF($D13="","",VLOOKUP($D13,TradeTable,2,FALSE)),"?")</f>
        <v/>
      </c>
      <c r="F13" s="13" t="n"/>
      <c r="G13" s="16" t="n"/>
      <c r="H13" s="13" t="n"/>
      <c r="I13" s="13" t="n"/>
      <c r="J13" s="13" t="n"/>
      <c r="K13" s="13" t="n"/>
      <c r="L13" s="13" t="n"/>
      <c r="M13" s="17">
        <f>IF(OR($H13="",$L13=""),"",$H13-$L13)</f>
        <v/>
      </c>
      <c r="N13" s="16" t="n"/>
      <c r="O13" s="13" t="n"/>
      <c r="P13" s="16" t="n"/>
    </row>
    <row r="14" ht="18" customHeight="1">
      <c r="A14" t="inlineStr">
        <is>
          <t>Labor</t>
        </is>
      </c>
      <c r="B14" s="13" t="n"/>
      <c r="C14" s="14">
        <f>IFERROR(IF($B14="","",VLOOKUP($B14,EmpTable,2,FALSE)),"?")</f>
        <v/>
      </c>
      <c r="D14" s="15" t="n"/>
      <c r="E14" s="14">
        <f>IFERROR(IF($D14="","",VLOOKUP($D14,TradeTable,2,FALSE)),"?")</f>
        <v/>
      </c>
      <c r="F14" s="13" t="n"/>
      <c r="G14" s="16" t="n"/>
      <c r="H14" s="13" t="n"/>
      <c r="I14" s="13" t="n"/>
      <c r="J14" s="13" t="n"/>
      <c r="K14" s="13" t="n"/>
      <c r="L14" s="13" t="n"/>
      <c r="M14" s="17">
        <f>IF(OR($H14="",$L14=""),"",$H14-$L14)</f>
        <v/>
      </c>
      <c r="N14" s="16" t="n"/>
      <c r="O14" s="13" t="n"/>
      <c r="P14" s="16" t="n"/>
    </row>
    <row r="15" ht="18" customHeight="1">
      <c r="A15" t="inlineStr">
        <is>
          <t>Labor</t>
        </is>
      </c>
      <c r="B15" s="13" t="n"/>
      <c r="C15" s="14">
        <f>IFERROR(IF($B15="","",VLOOKUP($B15,EmpTable,2,FALSE)),"?")</f>
        <v/>
      </c>
      <c r="D15" s="15" t="n"/>
      <c r="E15" s="14">
        <f>IFERROR(IF($D15="","",VLOOKUP($D15,TradeTable,2,FALSE)),"?")</f>
        <v/>
      </c>
      <c r="F15" s="13" t="n"/>
      <c r="G15" s="16" t="n"/>
      <c r="H15" s="13" t="n"/>
      <c r="I15" s="13" t="n"/>
      <c r="J15" s="13" t="n"/>
      <c r="K15" s="13" t="n"/>
      <c r="L15" s="13" t="n"/>
      <c r="M15" s="17">
        <f>IF(OR($H15="",$L15=""),"",$H15-$L15)</f>
        <v/>
      </c>
      <c r="N15" s="16" t="n"/>
      <c r="O15" s="13" t="n"/>
      <c r="P15" s="16" t="n"/>
    </row>
    <row r="16" ht="18" customHeight="1">
      <c r="A16" t="inlineStr">
        <is>
          <t>Labor</t>
        </is>
      </c>
      <c r="B16" s="13" t="n"/>
      <c r="C16" s="14">
        <f>IFERROR(IF($B16="","",VLOOKUP($B16,EmpTable,2,FALSE)),"?")</f>
        <v/>
      </c>
      <c r="D16" s="15" t="n"/>
      <c r="E16" s="14">
        <f>IFERROR(IF($D16="","",VLOOKUP($D16,TradeTable,2,FALSE)),"?")</f>
        <v/>
      </c>
      <c r="F16" s="13" t="n"/>
      <c r="G16" s="16" t="n"/>
      <c r="H16" s="13" t="n"/>
      <c r="I16" s="13" t="n"/>
      <c r="J16" s="13" t="n"/>
      <c r="K16" s="13" t="n"/>
      <c r="L16" s="13" t="n"/>
      <c r="M16" s="17">
        <f>IF(OR($H16="",$L16=""),"",$H16-$L16)</f>
        <v/>
      </c>
      <c r="N16" s="16" t="n"/>
      <c r="O16" s="13" t="n"/>
      <c r="P16" s="16" t="n"/>
    </row>
    <row r="17" ht="18" customHeight="1">
      <c r="A17" t="inlineStr">
        <is>
          <t>Labor</t>
        </is>
      </c>
      <c r="B17" s="13" t="n"/>
      <c r="C17" s="14">
        <f>IFERROR(IF($B17="","",VLOOKUP($B17,EmpTable,2,FALSE)),"?")</f>
        <v/>
      </c>
      <c r="D17" s="15" t="n"/>
      <c r="E17" s="14">
        <f>IFERROR(IF($D17="","",VLOOKUP($D17,TradeTable,2,FALSE)),"?")</f>
        <v/>
      </c>
      <c r="F17" s="13" t="n"/>
      <c r="G17" s="16" t="n"/>
      <c r="H17" s="13" t="n"/>
      <c r="I17" s="13" t="n"/>
      <c r="J17" s="13" t="n"/>
      <c r="K17" s="13" t="n"/>
      <c r="L17" s="13" t="n"/>
      <c r="M17" s="17">
        <f>IF(OR($H17="",$L17=""),"",$H17-$L17)</f>
        <v/>
      </c>
      <c r="N17" s="16" t="n"/>
      <c r="O17" s="13" t="n"/>
      <c r="P17" s="16" t="n"/>
    </row>
    <row r="18" ht="18" customHeight="1">
      <c r="A18" t="inlineStr">
        <is>
          <t>Labor</t>
        </is>
      </c>
      <c r="B18" s="13" t="n"/>
      <c r="C18" s="14">
        <f>IFERROR(IF($B18="","",VLOOKUP($B18,EmpTable,2,FALSE)),"?")</f>
        <v/>
      </c>
      <c r="D18" s="15" t="n"/>
      <c r="E18" s="14">
        <f>IFERROR(IF($D18="","",VLOOKUP($D18,TradeTable,2,FALSE)),"?")</f>
        <v/>
      </c>
      <c r="F18" s="13" t="n"/>
      <c r="G18" s="16" t="n"/>
      <c r="H18" s="13" t="n"/>
      <c r="I18" s="13" t="n"/>
      <c r="J18" s="13" t="n"/>
      <c r="K18" s="13" t="n"/>
      <c r="L18" s="13" t="n"/>
      <c r="M18" s="17">
        <f>IF(OR($H18="",$L18=""),"",$H18-$L18)</f>
        <v/>
      </c>
      <c r="N18" s="16" t="n"/>
      <c r="O18" s="13" t="n"/>
      <c r="P18" s="16" t="n"/>
    </row>
    <row r="19" ht="18" customHeight="1">
      <c r="A19" t="inlineStr">
        <is>
          <t>Labor</t>
        </is>
      </c>
      <c r="B19" s="13" t="n"/>
      <c r="C19" s="14">
        <f>IFERROR(IF($B19="","",VLOOKUP($B19,EmpTable,2,FALSE)),"?")</f>
        <v/>
      </c>
      <c r="D19" s="15" t="n"/>
      <c r="E19" s="14">
        <f>IFERROR(IF($D19="","",VLOOKUP($D19,TradeTable,2,FALSE)),"?")</f>
        <v/>
      </c>
      <c r="F19" s="13" t="n"/>
      <c r="G19" s="16" t="n"/>
      <c r="H19" s="13" t="n"/>
      <c r="I19" s="13" t="n"/>
      <c r="J19" s="13" t="n"/>
      <c r="K19" s="13" t="n"/>
      <c r="L19" s="13" t="n"/>
      <c r="M19" s="17">
        <f>IF(OR($H19="",$L19=""),"",$H19-$L19)</f>
        <v/>
      </c>
      <c r="N19" s="16" t="n"/>
      <c r="O19" s="13" t="n"/>
      <c r="P19" s="16" t="n"/>
    </row>
    <row r="20" ht="18" customHeight="1">
      <c r="A20" t="inlineStr">
        <is>
          <t>Labor</t>
        </is>
      </c>
      <c r="B20" s="13" t="n"/>
      <c r="C20" s="14">
        <f>IFERROR(IF($B20="","",VLOOKUP($B20,EmpTable,2,FALSE)),"?")</f>
        <v/>
      </c>
      <c r="D20" s="15" t="n"/>
      <c r="E20" s="14">
        <f>IFERROR(IF($D20="","",VLOOKUP($D20,TradeTable,2,FALSE)),"?")</f>
        <v/>
      </c>
      <c r="F20" s="13" t="n"/>
      <c r="G20" s="16" t="n"/>
      <c r="H20" s="13" t="n"/>
      <c r="I20" s="13" t="n"/>
      <c r="J20" s="13" t="n"/>
      <c r="K20" s="13" t="n"/>
      <c r="L20" s="13" t="n"/>
      <c r="M20" s="17">
        <f>IF(OR($H20="",$L20=""),"",$H20-$L20)</f>
        <v/>
      </c>
      <c r="N20" s="16" t="n"/>
      <c r="O20" s="13" t="n"/>
      <c r="P20" s="16" t="n"/>
    </row>
    <row r="21" ht="18" customHeight="1">
      <c r="A21" t="inlineStr">
        <is>
          <t>Labor</t>
        </is>
      </c>
      <c r="B21" s="13" t="n"/>
      <c r="C21" s="14">
        <f>IFERROR(IF($B21="","",VLOOKUP($B21,EmpTable,2,FALSE)),"?")</f>
        <v/>
      </c>
      <c r="D21" s="15" t="n"/>
      <c r="E21" s="14">
        <f>IFERROR(IF($D21="","",VLOOKUP($D21,TradeTable,2,FALSE)),"?")</f>
        <v/>
      </c>
      <c r="F21" s="13" t="n"/>
      <c r="G21" s="16" t="n"/>
      <c r="H21" s="13" t="n"/>
      <c r="I21" s="13" t="n"/>
      <c r="J21" s="13" t="n"/>
      <c r="K21" s="13" t="n"/>
      <c r="L21" s="13" t="n"/>
      <c r="M21" s="17">
        <f>IF(OR($H21="",$L21=""),"",$H21-$L21)</f>
        <v/>
      </c>
      <c r="N21" s="16" t="n"/>
      <c r="O21" s="13" t="n"/>
      <c r="P21" s="16" t="n"/>
    </row>
    <row r="22" ht="18" customHeight="1">
      <c r="A22" t="inlineStr">
        <is>
          <t>Labor</t>
        </is>
      </c>
      <c r="B22" s="13" t="n"/>
      <c r="C22" s="14">
        <f>IFERROR(IF($B22="","",VLOOKUP($B22,EmpTable,2,FALSE)),"?")</f>
        <v/>
      </c>
      <c r="D22" s="15" t="n"/>
      <c r="E22" s="14">
        <f>IFERROR(IF($D22="","",VLOOKUP($D22,TradeTable,2,FALSE)),"?")</f>
        <v/>
      </c>
      <c r="F22" s="13" t="n"/>
      <c r="G22" s="16" t="n"/>
      <c r="H22" s="13" t="n"/>
      <c r="I22" s="13" t="n"/>
      <c r="J22" s="13" t="n"/>
      <c r="K22" s="13" t="n"/>
      <c r="L22" s="13" t="n"/>
      <c r="M22" s="17">
        <f>IF(OR($H22="",$L22=""),"",$H22-$L22)</f>
        <v/>
      </c>
      <c r="N22" s="16" t="n"/>
      <c r="O22" s="13" t="n"/>
      <c r="P22" s="16" t="n"/>
    </row>
    <row r="23" ht="18" customHeight="1">
      <c r="A23" t="inlineStr">
        <is>
          <t>Labor</t>
        </is>
      </c>
      <c r="B23" s="13" t="n"/>
      <c r="C23" s="14">
        <f>IFERROR(IF($B23="","",VLOOKUP($B23,EmpTable,2,FALSE)),"?")</f>
        <v/>
      </c>
      <c r="D23" s="15" t="n"/>
      <c r="E23" s="14">
        <f>IFERROR(IF($D23="","",VLOOKUP($D23,TradeTable,2,FALSE)),"?")</f>
        <v/>
      </c>
      <c r="F23" s="13" t="n"/>
      <c r="G23" s="16" t="n"/>
      <c r="H23" s="13" t="n"/>
      <c r="I23" s="13" t="n"/>
      <c r="J23" s="13" t="n"/>
      <c r="K23" s="13" t="n"/>
      <c r="L23" s="13" t="n"/>
      <c r="M23" s="17">
        <f>IF(OR($H23="",$L23=""),"",$H23-$L23)</f>
        <v/>
      </c>
      <c r="N23" s="16" t="n"/>
      <c r="O23" s="13" t="n"/>
      <c r="P23" s="16" t="n"/>
    </row>
    <row r="24" ht="18" customHeight="1">
      <c r="A24" t="inlineStr">
        <is>
          <t>Labor</t>
        </is>
      </c>
      <c r="B24" s="13" t="n"/>
      <c r="C24" s="14">
        <f>IFERROR(IF($B24="","",VLOOKUP($B24,EmpTable,2,FALSE)),"?")</f>
        <v/>
      </c>
      <c r="D24" s="15" t="n"/>
      <c r="E24" s="14">
        <f>IFERROR(IF($D24="","",VLOOKUP($D24,TradeTable,2,FALSE)),"?")</f>
        <v/>
      </c>
      <c r="F24" s="13" t="n"/>
      <c r="G24" s="16" t="n"/>
      <c r="H24" s="13" t="n"/>
      <c r="I24" s="13" t="n"/>
      <c r="J24" s="13" t="n"/>
      <c r="K24" s="13" t="n"/>
      <c r="L24" s="13" t="n"/>
      <c r="M24" s="17">
        <f>IF(OR($H24="",$L24=""),"",$H24-$L24)</f>
        <v/>
      </c>
      <c r="N24" s="16" t="n"/>
      <c r="O24" s="13" t="n"/>
      <c r="P24" s="16" t="n"/>
    </row>
    <row r="25" ht="18" customHeight="1">
      <c r="A25" t="inlineStr">
        <is>
          <t>Labor</t>
        </is>
      </c>
      <c r="B25" s="13" t="n"/>
      <c r="C25" s="14">
        <f>IFERROR(IF($B25="","",VLOOKUP($B25,EmpTable,2,FALSE)),"?")</f>
        <v/>
      </c>
      <c r="D25" s="15" t="n"/>
      <c r="E25" s="14">
        <f>IFERROR(IF($D25="","",VLOOKUP($D25,TradeTable,2,FALSE)),"?")</f>
        <v/>
      </c>
      <c r="F25" s="13" t="n"/>
      <c r="G25" s="16" t="n"/>
      <c r="H25" s="13" t="n"/>
      <c r="I25" s="13" t="n"/>
      <c r="J25" s="13" t="n"/>
      <c r="K25" s="13" t="n"/>
      <c r="L25" s="13" t="n"/>
      <c r="M25" s="17">
        <f>IF(OR($H25="",$L25=""),"",$H25-$L25)</f>
        <v/>
      </c>
      <c r="N25" s="16" t="n"/>
      <c r="O25" s="13" t="n"/>
      <c r="P25" s="16" t="n"/>
    </row>
    <row r="26" ht="18" customHeight="1">
      <c r="A26" t="inlineStr">
        <is>
          <t>Labor</t>
        </is>
      </c>
      <c r="B26" s="13" t="n"/>
      <c r="C26" s="14">
        <f>IFERROR(IF($B26="","",VLOOKUP($B26,EmpTable,2,FALSE)),"?")</f>
        <v/>
      </c>
      <c r="D26" s="15" t="n"/>
      <c r="E26" s="14">
        <f>IFERROR(IF($D26="","",VLOOKUP($D26,TradeTable,2,FALSE)),"?")</f>
        <v/>
      </c>
      <c r="F26" s="13" t="n"/>
      <c r="G26" s="16" t="n"/>
      <c r="H26" s="13" t="n"/>
      <c r="I26" s="13" t="n"/>
      <c r="J26" s="13" t="n"/>
      <c r="K26" s="13" t="n"/>
      <c r="L26" s="13" t="n"/>
      <c r="M26" s="17">
        <f>IF(OR($H26="",$L26=""),"",$H26-$L26)</f>
        <v/>
      </c>
      <c r="N26" s="16" t="n"/>
      <c r="O26" s="13" t="n"/>
      <c r="P26" s="16" t="n"/>
    </row>
    <row r="27" ht="18" customHeight="1">
      <c r="A27" t="inlineStr">
        <is>
          <t>Labor</t>
        </is>
      </c>
      <c r="B27" s="13" t="n"/>
      <c r="C27" s="14">
        <f>IFERROR(IF($B27="","",VLOOKUP($B27,EmpTable,2,FALSE)),"?")</f>
        <v/>
      </c>
      <c r="D27" s="15" t="n"/>
      <c r="E27" s="14">
        <f>IFERROR(IF($D27="","",VLOOKUP($D27,TradeTable,2,FALSE)),"?")</f>
        <v/>
      </c>
      <c r="F27" s="13" t="n"/>
      <c r="G27" s="16" t="n"/>
      <c r="H27" s="13" t="n"/>
      <c r="I27" s="13" t="n"/>
      <c r="J27" s="13" t="n"/>
      <c r="K27" s="13" t="n"/>
      <c r="L27" s="13" t="n"/>
      <c r="M27" s="17">
        <f>IF(OR($H27="",$L27=""),"",$H27-$L27)</f>
        <v/>
      </c>
      <c r="N27" s="16" t="n"/>
      <c r="O27" s="13" t="n"/>
      <c r="P27" s="16" t="n"/>
    </row>
    <row r="28" ht="18" customHeight="1">
      <c r="A28" t="inlineStr">
        <is>
          <t>Labor</t>
        </is>
      </c>
      <c r="B28" s="13" t="n"/>
      <c r="C28" s="14">
        <f>IFERROR(IF($B28="","",VLOOKUP($B28,EmpTable,2,FALSE)),"?")</f>
        <v/>
      </c>
      <c r="D28" s="15" t="n"/>
      <c r="E28" s="14">
        <f>IFERROR(IF($D28="","",VLOOKUP($D28,TradeTable,2,FALSE)),"?")</f>
        <v/>
      </c>
      <c r="F28" s="13" t="n"/>
      <c r="G28" s="16" t="n"/>
      <c r="H28" s="13" t="n"/>
      <c r="I28" s="13" t="n"/>
      <c r="J28" s="13" t="n"/>
      <c r="K28" s="13" t="n"/>
      <c r="L28" s="13" t="n"/>
      <c r="M28" s="17">
        <f>IF(OR($H28="",$L28=""),"",$H28-$L28)</f>
        <v/>
      </c>
      <c r="N28" s="16" t="n"/>
      <c r="O28" s="13" t="n"/>
      <c r="P28" s="16" t="n"/>
    </row>
    <row r="29" ht="18" customHeight="1">
      <c r="A29" t="inlineStr">
        <is>
          <t>Labor</t>
        </is>
      </c>
      <c r="B29" s="13" t="n"/>
      <c r="C29" s="14">
        <f>IFERROR(IF($B29="","",VLOOKUP($B29,EmpTable,2,FALSE)),"?")</f>
        <v/>
      </c>
      <c r="D29" s="15" t="n"/>
      <c r="E29" s="14">
        <f>IFERROR(IF($D29="","",VLOOKUP($D29,TradeTable,2,FALSE)),"?")</f>
        <v/>
      </c>
      <c r="F29" s="13" t="n"/>
      <c r="G29" s="16" t="n"/>
      <c r="H29" s="13" t="n"/>
      <c r="I29" s="13" t="n"/>
      <c r="J29" s="13" t="n"/>
      <c r="K29" s="13" t="n"/>
      <c r="L29" s="13" t="n"/>
      <c r="M29" s="17">
        <f>IF(OR($H29="",$L29=""),"",$H29-$L29)</f>
        <v/>
      </c>
      <c r="N29" s="16" t="n"/>
      <c r="O29" s="13" t="n"/>
      <c r="P29" s="16" t="n"/>
    </row>
    <row r="30" ht="18" customHeight="1">
      <c r="A30" t="inlineStr">
        <is>
          <t>Labor</t>
        </is>
      </c>
      <c r="B30" s="13" t="n"/>
      <c r="C30" s="14">
        <f>IFERROR(IF($B30="","",VLOOKUP($B30,EmpTable,2,FALSE)),"?")</f>
        <v/>
      </c>
      <c r="D30" s="15" t="n"/>
      <c r="E30" s="14">
        <f>IFERROR(IF($D30="","",VLOOKUP($D30,TradeTable,2,FALSE)),"?")</f>
        <v/>
      </c>
      <c r="F30" s="13" t="n"/>
      <c r="G30" s="16" t="n"/>
      <c r="H30" s="13" t="n"/>
      <c r="I30" s="13" t="n"/>
      <c r="J30" s="13" t="n"/>
      <c r="K30" s="13" t="n"/>
      <c r="L30" s="13" t="n"/>
      <c r="M30" s="17">
        <f>IF(OR($H30="",$L30=""),"",$H30-$L30)</f>
        <v/>
      </c>
      <c r="N30" s="16" t="n"/>
      <c r="O30" s="13" t="n"/>
      <c r="P30" s="16" t="n"/>
    </row>
    <row r="31" ht="18" customHeight="1">
      <c r="A31" t="inlineStr">
        <is>
          <t>Labor</t>
        </is>
      </c>
      <c r="B31" s="13" t="n"/>
      <c r="C31" s="14">
        <f>IFERROR(IF($B31="","",VLOOKUP($B31,EmpTable,2,FALSE)),"?")</f>
        <v/>
      </c>
      <c r="D31" s="15" t="n"/>
      <c r="E31" s="14">
        <f>IFERROR(IF($D31="","",VLOOKUP($D31,TradeTable,2,FALSE)),"?")</f>
        <v/>
      </c>
      <c r="F31" s="13" t="n"/>
      <c r="G31" s="16" t="n"/>
      <c r="H31" s="13" t="n"/>
      <c r="I31" s="13" t="n"/>
      <c r="J31" s="13" t="n"/>
      <c r="K31" s="13" t="n"/>
      <c r="L31" s="13" t="n"/>
      <c r="M31" s="17">
        <f>IF(OR($H31="",$L31=""),"",$H31-$L31)</f>
        <v/>
      </c>
      <c r="N31" s="16" t="n"/>
      <c r="O31" s="13" t="n"/>
      <c r="P31" s="16" t="n"/>
    </row>
    <row r="32" ht="18" customHeight="1">
      <c r="A32" t="inlineStr">
        <is>
          <t>Labor</t>
        </is>
      </c>
      <c r="B32" s="13" t="n"/>
      <c r="C32" s="14">
        <f>IFERROR(IF($B32="","",VLOOKUP($B32,EmpTable,2,FALSE)),"?")</f>
        <v/>
      </c>
      <c r="D32" s="15" t="n"/>
      <c r="E32" s="14">
        <f>IFERROR(IF($D32="","",VLOOKUP($D32,TradeTable,2,FALSE)),"?")</f>
        <v/>
      </c>
      <c r="F32" s="13" t="n"/>
      <c r="G32" s="16" t="n"/>
      <c r="H32" s="13" t="n"/>
      <c r="I32" s="13" t="n"/>
      <c r="J32" s="13" t="n"/>
      <c r="K32" s="13" t="n"/>
      <c r="L32" s="13" t="n"/>
      <c r="M32" s="17">
        <f>IF(OR($H32="",$L32=""),"",$H32-$L32)</f>
        <v/>
      </c>
      <c r="N32" s="16" t="n"/>
      <c r="O32" s="13" t="n"/>
      <c r="P32" s="16" t="n"/>
    </row>
    <row r="33" ht="18" customHeight="1">
      <c r="A33" t="inlineStr">
        <is>
          <t>Labor</t>
        </is>
      </c>
      <c r="B33" s="13" t="n"/>
      <c r="C33" s="14">
        <f>IFERROR(IF($B33="","",VLOOKUP($B33,EmpTable,2,FALSE)),"?")</f>
        <v/>
      </c>
      <c r="D33" s="15" t="n"/>
      <c r="E33" s="14">
        <f>IFERROR(IF($D33="","",VLOOKUP($D33,TradeTable,2,FALSE)),"?")</f>
        <v/>
      </c>
      <c r="F33" s="13" t="n"/>
      <c r="G33" s="16" t="n"/>
      <c r="H33" s="13" t="n"/>
      <c r="I33" s="13" t="n"/>
      <c r="J33" s="13" t="n"/>
      <c r="K33" s="13" t="n"/>
      <c r="L33" s="13" t="n"/>
      <c r="M33" s="17">
        <f>IF(OR($H33="",$L33=""),"",$H33-$L33)</f>
        <v/>
      </c>
      <c r="N33" s="16" t="n"/>
      <c r="O33" s="13" t="n"/>
      <c r="P33" s="16" t="n"/>
    </row>
    <row r="34" ht="18" customHeight="1">
      <c r="A34" t="inlineStr">
        <is>
          <t>Labor</t>
        </is>
      </c>
      <c r="B34" s="13" t="n"/>
      <c r="C34" s="14">
        <f>IFERROR(IF($B34="","",VLOOKUP($B34,EmpTable,2,FALSE)),"?")</f>
        <v/>
      </c>
      <c r="D34" s="15" t="n"/>
      <c r="E34" s="14">
        <f>IFERROR(IF($D34="","",VLOOKUP($D34,TradeTable,2,FALSE)),"?")</f>
        <v/>
      </c>
      <c r="F34" s="13" t="n"/>
      <c r="G34" s="16" t="n"/>
      <c r="H34" s="13" t="n"/>
      <c r="I34" s="13" t="n"/>
      <c r="J34" s="13" t="n"/>
      <c r="K34" s="13" t="n"/>
      <c r="L34" s="13" t="n"/>
      <c r="M34" s="17">
        <f>IF(OR($H34="",$L34=""),"",$H34-$L34)</f>
        <v/>
      </c>
      <c r="N34" s="16" t="n"/>
      <c r="O34" s="13" t="n"/>
      <c r="P34" s="16" t="n"/>
    </row>
    <row r="35" ht="18" customHeight="1">
      <c r="A35" t="inlineStr">
        <is>
          <t>Labor</t>
        </is>
      </c>
      <c r="B35" s="13" t="n"/>
      <c r="C35" s="14">
        <f>IFERROR(IF($B35="","",VLOOKUP($B35,EmpTable,2,FALSE)),"?")</f>
        <v/>
      </c>
      <c r="D35" s="15" t="n"/>
      <c r="E35" s="14">
        <f>IFERROR(IF($D35="","",VLOOKUP($D35,TradeTable,2,FALSE)),"?")</f>
        <v/>
      </c>
      <c r="F35" s="13" t="n"/>
      <c r="G35" s="16" t="n"/>
      <c r="H35" s="13" t="n"/>
      <c r="I35" s="13" t="n"/>
      <c r="J35" s="13" t="n"/>
      <c r="K35" s="13" t="n"/>
      <c r="L35" s="13" t="n"/>
      <c r="M35" s="17">
        <f>IF(OR($H35="",$L35=""),"",$H35-$L35)</f>
        <v/>
      </c>
      <c r="N35" s="16" t="n"/>
      <c r="O35" s="13" t="n"/>
      <c r="P35" s="16" t="n"/>
    </row>
    <row r="36" ht="18" customHeight="1">
      <c r="A36" t="inlineStr">
        <is>
          <t>Labor</t>
        </is>
      </c>
      <c r="B36" s="13" t="n"/>
      <c r="C36" s="14">
        <f>IFERROR(IF($B36="","",VLOOKUP($B36,EmpTable,2,FALSE)),"?")</f>
        <v/>
      </c>
      <c r="D36" s="15" t="n"/>
      <c r="E36" s="14">
        <f>IFERROR(IF($D36="","",VLOOKUP($D36,TradeTable,2,FALSE)),"?")</f>
        <v/>
      </c>
      <c r="F36" s="13" t="n"/>
      <c r="G36" s="16" t="n"/>
      <c r="H36" s="13" t="n"/>
      <c r="I36" s="13" t="n"/>
      <c r="J36" s="13" t="n"/>
      <c r="K36" s="13" t="n"/>
      <c r="L36" s="13" t="n"/>
      <c r="M36" s="17">
        <f>IF(OR($H36="",$L36=""),"",$H36-$L36)</f>
        <v/>
      </c>
      <c r="N36" s="16" t="n"/>
      <c r="O36" s="13" t="n"/>
      <c r="P36" s="16" t="n"/>
    </row>
    <row r="37" ht="18" customHeight="1">
      <c r="A37" t="inlineStr">
        <is>
          <t>Labor</t>
        </is>
      </c>
      <c r="B37" s="13" t="n"/>
      <c r="C37" s="14">
        <f>IFERROR(IF($B37="","",VLOOKUP($B37,EmpTable,2,FALSE)),"?")</f>
        <v/>
      </c>
      <c r="D37" s="15" t="n"/>
      <c r="E37" s="14">
        <f>IFERROR(IF($D37="","",VLOOKUP($D37,TradeTable,2,FALSE)),"?")</f>
        <v/>
      </c>
      <c r="F37" s="13" t="n"/>
      <c r="G37" s="16" t="n"/>
      <c r="H37" s="13" t="n"/>
      <c r="I37" s="13" t="n"/>
      <c r="J37" s="13" t="n"/>
      <c r="K37" s="13" t="n"/>
      <c r="L37" s="13" t="n"/>
      <c r="M37" s="17">
        <f>IF(OR($H37="",$L37=""),"",$H37-$L37)</f>
        <v/>
      </c>
      <c r="N37" s="16" t="n"/>
      <c r="O37" s="13" t="n"/>
      <c r="P37" s="16" t="n"/>
    </row>
    <row r="38" ht="18" customHeight="1">
      <c r="A38" t="inlineStr">
        <is>
          <t>Labor</t>
        </is>
      </c>
      <c r="B38" s="13" t="n"/>
      <c r="C38" s="14">
        <f>IFERROR(IF($B38="","",VLOOKUP($B38,EmpTable,2,FALSE)),"?")</f>
        <v/>
      </c>
      <c r="D38" s="15" t="n"/>
      <c r="E38" s="14">
        <f>IFERROR(IF($D38="","",VLOOKUP($D38,TradeTable,2,FALSE)),"?")</f>
        <v/>
      </c>
      <c r="F38" s="13" t="n"/>
      <c r="G38" s="16" t="n"/>
      <c r="H38" s="13" t="n"/>
      <c r="I38" s="13" t="n"/>
      <c r="J38" s="13" t="n"/>
      <c r="K38" s="13" t="n"/>
      <c r="L38" s="13" t="n"/>
      <c r="M38" s="17">
        <f>IF(OR($H38="",$L38=""),"",$H38-$L38)</f>
        <v/>
      </c>
      <c r="N38" s="16" t="n"/>
      <c r="O38" s="13" t="n"/>
      <c r="P38" s="16" t="n"/>
    </row>
    <row r="39" ht="18" customHeight="1">
      <c r="A39" t="inlineStr">
        <is>
          <t>Labor</t>
        </is>
      </c>
      <c r="B39" s="13" t="n"/>
      <c r="C39" s="14">
        <f>IFERROR(IF($B39="","",VLOOKUP($B39,EmpTable,2,FALSE)),"?")</f>
        <v/>
      </c>
      <c r="D39" s="15" t="n"/>
      <c r="E39" s="14">
        <f>IFERROR(IF($D39="","",VLOOKUP($D39,TradeTable,2,FALSE)),"?")</f>
        <v/>
      </c>
      <c r="F39" s="13" t="n"/>
      <c r="G39" s="16" t="n"/>
      <c r="H39" s="13" t="n"/>
      <c r="I39" s="13" t="n"/>
      <c r="J39" s="13" t="n"/>
      <c r="K39" s="13" t="n"/>
      <c r="L39" s="13" t="n"/>
      <c r="M39" s="17">
        <f>IF(OR($H39="",$L39=""),"",$H39-$L39)</f>
        <v/>
      </c>
      <c r="N39" s="16" t="n"/>
      <c r="O39" s="13" t="n"/>
      <c r="P39" s="16" t="n"/>
    </row>
    <row r="40" ht="18" customHeight="1">
      <c r="A40" t="inlineStr">
        <is>
          <t>Labor</t>
        </is>
      </c>
      <c r="B40" s="13" t="n"/>
      <c r="C40" s="14">
        <f>IFERROR(IF($B40="","",VLOOKUP($B40,EmpTable,2,FALSE)),"?")</f>
        <v/>
      </c>
      <c r="D40" s="15" t="n"/>
      <c r="E40" s="14">
        <f>IFERROR(IF($D40="","",VLOOKUP($D40,TradeTable,2,FALSE)),"?")</f>
        <v/>
      </c>
      <c r="F40" s="13" t="n"/>
      <c r="G40" s="16" t="n"/>
      <c r="H40" s="13" t="n"/>
      <c r="I40" s="13" t="n"/>
      <c r="J40" s="13" t="n"/>
      <c r="K40" s="13" t="n"/>
      <c r="L40" s="13" t="n"/>
      <c r="M40" s="17">
        <f>IF(OR($H40="",$L40=""),"",$H40-$L40)</f>
        <v/>
      </c>
      <c r="N40" s="16" t="n"/>
      <c r="O40" s="13" t="n"/>
      <c r="P40" s="16" t="n"/>
    </row>
    <row r="41" ht="18" customHeight="1">
      <c r="A41" t="inlineStr">
        <is>
          <t>Labor</t>
        </is>
      </c>
      <c r="B41" s="13" t="n"/>
      <c r="C41" s="14">
        <f>IFERROR(IF($B41="","",VLOOKUP($B41,EmpTable,2,FALSE)),"?")</f>
        <v/>
      </c>
      <c r="D41" s="15" t="n"/>
      <c r="E41" s="14">
        <f>IFERROR(IF($D41="","",VLOOKUP($D41,TradeTable,2,FALSE)),"?")</f>
        <v/>
      </c>
      <c r="F41" s="13" t="n"/>
      <c r="G41" s="16" t="n"/>
      <c r="H41" s="13" t="n"/>
      <c r="I41" s="13" t="n"/>
      <c r="J41" s="13" t="n"/>
      <c r="K41" s="13" t="n"/>
      <c r="L41" s="13" t="n"/>
      <c r="M41" s="17">
        <f>IF(OR($H41="",$L41=""),"",$H41-$L41)</f>
        <v/>
      </c>
      <c r="N41" s="16" t="n"/>
      <c r="O41" s="13" t="n"/>
      <c r="P41" s="16" t="n"/>
    </row>
    <row r="42" ht="18" customHeight="1">
      <c r="A42" t="inlineStr">
        <is>
          <t>Labor</t>
        </is>
      </c>
      <c r="B42" s="13" t="n"/>
      <c r="C42" s="14">
        <f>IFERROR(IF($B42="","",VLOOKUP($B42,EmpTable,2,FALSE)),"?")</f>
        <v/>
      </c>
      <c r="D42" s="15" t="n"/>
      <c r="E42" s="14">
        <f>IFERROR(IF($D42="","",VLOOKUP($D42,TradeTable,2,FALSE)),"?")</f>
        <v/>
      </c>
      <c r="F42" s="13" t="n"/>
      <c r="G42" s="16" t="n"/>
      <c r="H42" s="13" t="n"/>
      <c r="I42" s="13" t="n"/>
      <c r="J42" s="13" t="n"/>
      <c r="K42" s="13" t="n"/>
      <c r="L42" s="13" t="n"/>
      <c r="M42" s="17">
        <f>IF(OR($H42="",$L42=""),"",$H42-$L42)</f>
        <v/>
      </c>
      <c r="N42" s="16" t="n"/>
      <c r="O42" s="13" t="n"/>
      <c r="P42" s="16" t="n"/>
    </row>
    <row r="43" ht="18" customHeight="1">
      <c r="A43" t="inlineStr">
        <is>
          <t>Labor</t>
        </is>
      </c>
      <c r="B43" s="13" t="n"/>
      <c r="C43" s="14">
        <f>IFERROR(IF($B43="","",VLOOKUP($B43,EmpTable,2,FALSE)),"?")</f>
        <v/>
      </c>
      <c r="D43" s="15" t="n"/>
      <c r="E43" s="14">
        <f>IFERROR(IF($D43="","",VLOOKUP($D43,TradeTable,2,FALSE)),"?")</f>
        <v/>
      </c>
      <c r="F43" s="13" t="n"/>
      <c r="G43" s="16" t="n"/>
      <c r="H43" s="13" t="n"/>
      <c r="I43" s="13" t="n"/>
      <c r="J43" s="13" t="n"/>
      <c r="K43" s="13" t="n"/>
      <c r="L43" s="13" t="n"/>
      <c r="M43" s="17">
        <f>IF(OR($H43="",$L43=""),"",$H43-$L43)</f>
        <v/>
      </c>
      <c r="N43" s="16" t="n"/>
      <c r="O43" s="13" t="n"/>
      <c r="P43" s="16" t="n"/>
    </row>
    <row r="44" ht="18" customHeight="1">
      <c r="A44" t="inlineStr">
        <is>
          <t>Labor</t>
        </is>
      </c>
      <c r="B44" s="13" t="n"/>
      <c r="C44" s="14">
        <f>IFERROR(IF($B44="","",VLOOKUP($B44,EmpTable,2,FALSE)),"?")</f>
        <v/>
      </c>
      <c r="D44" s="15" t="n"/>
      <c r="E44" s="14">
        <f>IFERROR(IF($D44="","",VLOOKUP($D44,TradeTable,2,FALSE)),"?")</f>
        <v/>
      </c>
      <c r="F44" s="13" t="n"/>
      <c r="G44" s="16" t="n"/>
      <c r="H44" s="13" t="n"/>
      <c r="I44" s="13" t="n"/>
      <c r="J44" s="13" t="n"/>
      <c r="K44" s="13" t="n"/>
      <c r="L44" s="13" t="n"/>
      <c r="M44" s="17">
        <f>IF(OR($H44="",$L44=""),"",$H44-$L44)</f>
        <v/>
      </c>
      <c r="N44" s="16" t="n"/>
      <c r="O44" s="13" t="n"/>
      <c r="P44" s="16" t="n"/>
    </row>
    <row r="45" ht="18" customHeight="1">
      <c r="A45" t="inlineStr">
        <is>
          <t>Labor</t>
        </is>
      </c>
      <c r="B45" s="13" t="n"/>
      <c r="C45" s="14">
        <f>IFERROR(IF($B45="","",VLOOKUP($B45,EmpTable,2,FALSE)),"?")</f>
        <v/>
      </c>
      <c r="D45" s="15" t="n"/>
      <c r="E45" s="14">
        <f>IFERROR(IF($D45="","",VLOOKUP($D45,TradeTable,2,FALSE)),"?")</f>
        <v/>
      </c>
      <c r="F45" s="13" t="n"/>
      <c r="G45" s="16" t="n"/>
      <c r="H45" s="13" t="n"/>
      <c r="I45" s="13" t="n"/>
      <c r="J45" s="13" t="n"/>
      <c r="K45" s="13" t="n"/>
      <c r="L45" s="13" t="n"/>
      <c r="M45" s="17">
        <f>IF(OR($H45="",$L45=""),"",$H45-$L45)</f>
        <v/>
      </c>
      <c r="N45" s="16" t="n"/>
      <c r="O45" s="13" t="n"/>
      <c r="P45" s="16" t="n"/>
    </row>
    <row r="46" ht="18" customHeight="1">
      <c r="A46" t="inlineStr">
        <is>
          <t>Labor</t>
        </is>
      </c>
      <c r="B46" s="13" t="n"/>
      <c r="C46" s="14">
        <f>IFERROR(IF($B46="","",VLOOKUP($B46,EmpTable,2,FALSE)),"?")</f>
        <v/>
      </c>
      <c r="D46" s="15" t="n"/>
      <c r="E46" s="14">
        <f>IFERROR(IF($D46="","",VLOOKUP($D46,TradeTable,2,FALSE)),"?")</f>
        <v/>
      </c>
      <c r="F46" s="13" t="n"/>
      <c r="G46" s="16" t="n"/>
      <c r="H46" s="13" t="n"/>
      <c r="I46" s="13" t="n"/>
      <c r="J46" s="13" t="n"/>
      <c r="K46" s="13" t="n"/>
      <c r="L46" s="13" t="n"/>
      <c r="M46" s="17">
        <f>IF(OR($H46="",$L46=""),"",$H46-$L46)</f>
        <v/>
      </c>
      <c r="N46" s="16" t="n"/>
      <c r="O46" s="13" t="n"/>
      <c r="P46" s="16" t="n"/>
    </row>
    <row r="47" ht="18" customHeight="1">
      <c r="A47" t="inlineStr">
        <is>
          <t>Labor</t>
        </is>
      </c>
      <c r="B47" s="13" t="n"/>
      <c r="C47" s="14">
        <f>IFERROR(IF($B47="","",VLOOKUP($B47,EmpTable,2,FALSE)),"?")</f>
        <v/>
      </c>
      <c r="D47" s="15" t="n"/>
      <c r="E47" s="14">
        <f>IFERROR(IF($D47="","",VLOOKUP($D47,TradeTable,2,FALSE)),"?")</f>
        <v/>
      </c>
      <c r="F47" s="13" t="n"/>
      <c r="G47" s="16" t="n"/>
      <c r="H47" s="13" t="n"/>
      <c r="I47" s="13" t="n"/>
      <c r="J47" s="13" t="n"/>
      <c r="K47" s="13" t="n"/>
      <c r="L47" s="13" t="n"/>
      <c r="M47" s="17">
        <f>IF(OR($H47="",$L47=""),"",$H47-$L47)</f>
        <v/>
      </c>
      <c r="N47" s="16" t="n"/>
      <c r="O47" s="13" t="n"/>
      <c r="P47" s="16" t="n"/>
    </row>
    <row r="48" ht="18" customHeight="1">
      <c r="A48" t="inlineStr">
        <is>
          <t>Labor</t>
        </is>
      </c>
      <c r="B48" s="13" t="n"/>
      <c r="C48" s="14">
        <f>IFERROR(IF($B48="","",VLOOKUP($B48,EmpTable,2,FALSE)),"?")</f>
        <v/>
      </c>
      <c r="D48" s="15" t="n"/>
      <c r="E48" s="14">
        <f>IFERROR(IF($D48="","",VLOOKUP($D48,TradeTable,2,FALSE)),"?")</f>
        <v/>
      </c>
      <c r="F48" s="13" t="n"/>
      <c r="G48" s="16" t="n"/>
      <c r="H48" s="13" t="n"/>
      <c r="I48" s="13" t="n"/>
      <c r="J48" s="13" t="n"/>
      <c r="K48" s="13" t="n"/>
      <c r="L48" s="13" t="n"/>
      <c r="M48" s="17">
        <f>IF(OR($H48="",$L48=""),"",$H48-$L48)</f>
        <v/>
      </c>
      <c r="N48" s="16" t="n"/>
      <c r="O48" s="13" t="n"/>
      <c r="P48" s="16" t="n"/>
    </row>
    <row r="49" ht="18" customHeight="1">
      <c r="A49" t="inlineStr">
        <is>
          <t>Labor</t>
        </is>
      </c>
      <c r="B49" s="13" t="n"/>
      <c r="C49" s="14">
        <f>IFERROR(IF($B49="","",VLOOKUP($B49,EmpTable,2,FALSE)),"?")</f>
        <v/>
      </c>
      <c r="D49" s="15" t="n"/>
      <c r="E49" s="14">
        <f>IFERROR(IF($D49="","",VLOOKUP($D49,TradeTable,2,FALSE)),"?")</f>
        <v/>
      </c>
      <c r="F49" s="13" t="n"/>
      <c r="G49" s="16" t="n"/>
      <c r="H49" s="13" t="n"/>
      <c r="I49" s="13" t="n"/>
      <c r="J49" s="13" t="n"/>
      <c r="K49" s="13" t="n"/>
      <c r="L49" s="13" t="n"/>
      <c r="M49" s="17">
        <f>IF(OR($H49="",$L49=""),"",$H49-$L49)</f>
        <v/>
      </c>
      <c r="N49" s="16" t="n"/>
      <c r="O49" s="13" t="n"/>
      <c r="P49" s="16" t="n"/>
    </row>
    <row r="50" ht="18" customHeight="1">
      <c r="A50" t="inlineStr">
        <is>
          <t>Labor</t>
        </is>
      </c>
      <c r="B50" s="13" t="n"/>
      <c r="C50" s="14">
        <f>IFERROR(IF($B50="","",VLOOKUP($B50,EmpTable,2,FALSE)),"?")</f>
        <v/>
      </c>
      <c r="D50" s="15" t="n"/>
      <c r="E50" s="14">
        <f>IFERROR(IF($D50="","",VLOOKUP($D50,TradeTable,2,FALSE)),"?")</f>
        <v/>
      </c>
      <c r="F50" s="13" t="n"/>
      <c r="G50" s="16" t="n"/>
      <c r="H50" s="13" t="n"/>
      <c r="I50" s="13" t="n"/>
      <c r="J50" s="13" t="n"/>
      <c r="K50" s="13" t="n"/>
      <c r="L50" s="13" t="n"/>
      <c r="M50" s="17">
        <f>IF(OR($H50="",$L50=""),"",$H50-$L50)</f>
        <v/>
      </c>
      <c r="N50" s="16" t="n"/>
      <c r="O50" s="13" t="n"/>
      <c r="P50" s="16" t="n"/>
    </row>
    <row r="51" ht="18" customHeight="1">
      <c r="A51" t="inlineStr">
        <is>
          <t>Labor</t>
        </is>
      </c>
      <c r="B51" s="13" t="n"/>
      <c r="C51" s="14">
        <f>IFERROR(IF($B51="","",VLOOKUP($B51,EmpTable,2,FALSE)),"?")</f>
        <v/>
      </c>
      <c r="D51" s="15" t="n"/>
      <c r="E51" s="14">
        <f>IFERROR(IF($D51="","",VLOOKUP($D51,TradeTable,2,FALSE)),"?")</f>
        <v/>
      </c>
      <c r="F51" s="13" t="n"/>
      <c r="G51" s="16" t="n"/>
      <c r="H51" s="13" t="n"/>
      <c r="I51" s="13" t="n"/>
      <c r="J51" s="13" t="n"/>
      <c r="K51" s="13" t="n"/>
      <c r="L51" s="13" t="n"/>
      <c r="M51" s="17">
        <f>IF(OR($H51="",$L51=""),"",$H51-$L51)</f>
        <v/>
      </c>
      <c r="N51" s="16" t="n"/>
      <c r="O51" s="13" t="n"/>
      <c r="P51" s="16" t="n"/>
    </row>
    <row r="52">
      <c r="A52" t="inlineStr">
        <is>
          <t>Total</t>
        </is>
      </c>
      <c r="B52" s="18" t="inlineStr">
        <is>
          <t>TOTAL</t>
        </is>
      </c>
      <c r="H52" s="19">
        <f>SUM(H12:H51)</f>
        <v/>
      </c>
      <c r="I52" s="19">
        <f>SUM(I12:I51)</f>
        <v/>
      </c>
      <c r="J52" s="19">
        <f>SUM(J12:J51)</f>
        <v/>
      </c>
      <c r="L52" s="19">
        <f>SUM(L12:L51)</f>
        <v/>
      </c>
    </row>
    <row r="54">
      <c r="B54" s="20" t="inlineStr">
        <is>
          <t>Description of work accomplished, issues encountered, etc.</t>
        </is>
      </c>
    </row>
    <row r="55">
      <c r="B55" s="21" t="n"/>
    </row>
    <row r="56"/>
    <row r="57"/>
    <row r="58"/>
  </sheetData>
  <mergeCells count="7">
    <mergeCell ref="F2:M2"/>
    <mergeCell ref="H7:M8"/>
    <mergeCell ref="N2:P2"/>
    <mergeCell ref="F3:M3"/>
    <mergeCell ref="N1:P1"/>
    <mergeCell ref="H6:M6"/>
    <mergeCell ref="B55:P58"/>
  </mergeCells>
  <conditionalFormatting sqref="B12:B51">
    <cfRule type="expression" priority="1" dxfId="0">
      <formula>AND($B12&lt;&gt;"",$C12="?")</formula>
    </cfRule>
  </conditionalFormatting>
  <conditionalFormatting sqref="D12:D51">
    <cfRule type="expression" priority="2" dxfId="0">
      <formula>AND($D12&lt;&gt;"",$E12="?")</formula>
    </cfRule>
  </conditionalFormatting>
  <conditionalFormatting sqref="M12:M51">
    <cfRule type="expression" priority="3" dxfId="0">
      <formula>AND($M12&lt;&gt;"",$M12&lt;&gt;0)</formula>
    </cfRule>
  </conditionalFormatting>
  <conditionalFormatting sqref="H12:H51">
    <cfRule type="expression" priority="4" dxfId="0">
      <formula>OR($H12&gt;16,$H12&lt;0)</formula>
    </cfRule>
    <cfRule type="expression" priority="5" dxfId="1">
      <formula>AND($H12&lt;&gt;"",$I12+$J12&lt;&gt;$H12)</formula>
    </cfRule>
  </conditionalFormatting>
  <dataValidations count="7">
    <dataValidation sqref="B12:B51" showDropDown="0" showInputMessage="0" showErrorMessage="0" allowBlank="1" type="list">
      <formula1>=EmpNames</formula1>
    </dataValidation>
    <dataValidation sqref="D12:D51" showDropDown="0" showInputMessage="0" showErrorMessage="0" allowBlank="1" type="list">
      <formula1>=TradeNames</formula1>
    </dataValidation>
    <dataValidation sqref="F12:F51" showDropDown="0" showInputMessage="0" showErrorMessage="0" allowBlank="1" type="list">
      <formula1>=WOList</formula1>
    </dataValidation>
    <dataValidation sqref="K12:K51" showDropDown="0" showInputMessage="0" showErrorMessage="0" allowBlank="1" type="list">
      <formula1>=LocList</formula1>
    </dataValidation>
    <dataValidation sqref="N12:N51" showDropDown="0" showInputMessage="0" showErrorMessage="0" allowBlank="1" type="list">
      <formula1>=SwipeList</formula1>
    </dataValidation>
    <dataValidation sqref="O12:O51" showDropDown="0" showInputMessage="0" showErrorMessage="0" allowBlank="1" type="list">
      <formula1>=HoldUpList</formula1>
    </dataValidation>
    <dataValidation sqref="C7" showDropDown="0" showInputMessage="0" showErrorMessage="0" allowBlank="1" type="list">
      <formula1>=ShiftList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26" customWidth="1" min="4" max="4"/>
    <col width="26" customWidth="1" min="6" max="6"/>
    <col width="12" customWidth="1" min="7" max="7"/>
    <col width="26" customWidth="1" min="8" max="8"/>
    <col width="12" customWidth="1" min="9" max="9"/>
    <col width="10" customWidth="1" min="11" max="11"/>
    <col width="15" customWidth="1" min="12" max="12"/>
    <col width="30" customWidth="1" min="13" max="13"/>
    <col width="30" customWidth="1" min="14" max="14"/>
  </cols>
  <sheetData>
    <row r="1">
      <c r="A1" s="22" t="inlineStr">
        <is>
          <t>EMPLOYEES  (add new people here — dropdowns update automatically)</t>
        </is>
      </c>
      <c r="F1" s="22" t="inlineStr">
        <is>
          <t>TRADES  -&gt;  SAP ACTIVITY TYPE</t>
        </is>
      </c>
      <c r="K1" s="22" t="inlineStr">
        <is>
          <t>PICK LISTS</t>
        </is>
      </c>
    </row>
    <row r="2">
      <c r="A2" s="23" t="inlineStr">
        <is>
          <t>Employee Name</t>
        </is>
      </c>
      <c r="B2" s="23" t="inlineStr">
        <is>
          <t>CF ID</t>
        </is>
      </c>
      <c r="C2" s="23" t="inlineStr">
        <is>
          <t>Default Work Center</t>
        </is>
      </c>
      <c r="D2" s="23" t="inlineStr">
        <is>
          <t>Default Trade</t>
        </is>
      </c>
      <c r="F2" s="23" t="inlineStr">
        <is>
          <t>Trade / Position</t>
        </is>
      </c>
      <c r="G2" s="23" t="inlineStr">
        <is>
          <t>Activity Type</t>
        </is>
      </c>
      <c r="H2" s="23" t="inlineStr">
        <is>
          <t>Activity Type Description</t>
        </is>
      </c>
      <c r="I2" s="23" t="inlineStr">
        <is>
          <t>Work Center</t>
        </is>
      </c>
      <c r="K2" s="23" t="inlineStr">
        <is>
          <t>Shift</t>
        </is>
      </c>
      <c r="L2" s="23" t="inlineStr">
        <is>
          <t>Work Location</t>
        </is>
      </c>
      <c r="M2" s="23" t="inlineStr">
        <is>
          <t>Swipe Deviation</t>
        </is>
      </c>
      <c r="N2" s="23" t="inlineStr">
        <is>
          <t>Hold Up Type</t>
        </is>
      </c>
    </row>
    <row r="3">
      <c r="A3" s="24" t="inlineStr">
        <is>
          <t>Winter, Tom</t>
        </is>
      </c>
      <c r="B3" s="24" t="n">
        <v>19057</v>
      </c>
      <c r="C3" s="24" t="inlineStr">
        <is>
          <t>PF01</t>
        </is>
      </c>
      <c r="D3" s="24" t="inlineStr">
        <is>
          <t>Pipefitter - Foreman</t>
        </is>
      </c>
      <c r="F3" s="24" t="inlineStr">
        <is>
          <t>Pipefitter - Foreman</t>
        </is>
      </c>
      <c r="G3" s="24" t="inlineStr">
        <is>
          <t>CI201</t>
        </is>
      </c>
      <c r="H3" s="24" t="inlineStr">
        <is>
          <t>CRT CIM PF FM ST</t>
        </is>
      </c>
      <c r="I3" s="24" t="inlineStr">
        <is>
          <t>PF01</t>
        </is>
      </c>
      <c r="K3" s="24" t="inlineStr">
        <is>
          <t>Day</t>
        </is>
      </c>
      <c r="L3" s="24" t="inlineStr">
        <is>
          <t>1 - Shop Floor</t>
        </is>
      </c>
      <c r="M3" s="24" t="inlineStr">
        <is>
          <t>Call In</t>
        </is>
      </c>
      <c r="N3" s="24" t="inlineStr">
        <is>
          <t>Approved Offsite / Swipe Deviation</t>
        </is>
      </c>
    </row>
    <row r="4">
      <c r="A4" s="24" t="inlineStr">
        <is>
          <t>Power, Nathan</t>
        </is>
      </c>
      <c r="B4" s="24" t="n">
        <v>19058</v>
      </c>
      <c r="C4" s="24" t="inlineStr">
        <is>
          <t>PF01</t>
        </is>
      </c>
      <c r="D4" s="24" t="inlineStr">
        <is>
          <t>Pipefitter - Journeyman</t>
        </is>
      </c>
      <c r="F4" s="24" t="inlineStr">
        <is>
          <t>Pipefitter - Foreman (DT)</t>
        </is>
      </c>
      <c r="G4" s="24" t="inlineStr">
        <is>
          <t>CI202</t>
        </is>
      </c>
      <c r="H4" s="24" t="inlineStr">
        <is>
          <t>CRT CIM PF FM DT</t>
        </is>
      </c>
      <c r="I4" s="24" t="inlineStr">
        <is>
          <t>PF01</t>
        </is>
      </c>
      <c r="K4" s="24" t="inlineStr">
        <is>
          <t>Night</t>
        </is>
      </c>
      <c r="L4" s="24" t="inlineStr">
        <is>
          <t>2 - Office</t>
        </is>
      </c>
      <c r="M4" s="24" t="inlineStr">
        <is>
          <t>Remote Work / Offsite Meeting</t>
        </is>
      </c>
      <c r="N4" s="24" t="inlineStr">
        <is>
          <t>Decision Needed to Proceed</t>
        </is>
      </c>
    </row>
    <row r="5">
      <c r="A5" s="24" t="inlineStr">
        <is>
          <t>Vellinga, Rob</t>
        </is>
      </c>
      <c r="B5" s="24" t="n">
        <v>19059</v>
      </c>
      <c r="C5" s="24" t="inlineStr">
        <is>
          <t>PF01</t>
        </is>
      </c>
      <c r="D5" s="24" t="inlineStr">
        <is>
          <t>Pipefitter - Journeyman</t>
        </is>
      </c>
      <c r="F5" s="24" t="inlineStr">
        <is>
          <t>Pipefitter - Journeyman</t>
        </is>
      </c>
      <c r="G5" s="24" t="inlineStr">
        <is>
          <t>CI203</t>
        </is>
      </c>
      <c r="H5" s="24" t="inlineStr">
        <is>
          <t>CRT CIM PF JM ST</t>
        </is>
      </c>
      <c r="I5" s="24" t="inlineStr">
        <is>
          <t>PF01</t>
        </is>
      </c>
      <c r="L5" s="24" t="inlineStr">
        <is>
          <t>3 - Field</t>
        </is>
      </c>
      <c r="M5" s="24" t="inlineStr">
        <is>
          <t>Safety - Fit for Duty Checks</t>
        </is>
      </c>
      <c r="N5" s="24" t="inlineStr">
        <is>
          <t>Equip Avail, Not Prepped</t>
        </is>
      </c>
    </row>
    <row r="6">
      <c r="A6" s="24" t="inlineStr">
        <is>
          <t>Carter, Brad</t>
        </is>
      </c>
      <c r="B6" s="24" t="n">
        <v>19060</v>
      </c>
      <c r="C6" s="24" t="inlineStr">
        <is>
          <t>PF01</t>
        </is>
      </c>
      <c r="D6" s="24" t="inlineStr">
        <is>
          <t>Pipefitter - Journeyman</t>
        </is>
      </c>
      <c r="F6" s="24" t="inlineStr">
        <is>
          <t>Pipefitter - Journeyman (DT)</t>
        </is>
      </c>
      <c r="G6" s="24" t="inlineStr">
        <is>
          <t>CI204</t>
        </is>
      </c>
      <c r="H6" s="24" t="inlineStr">
        <is>
          <t>CRT CIM PF JM DT</t>
        </is>
      </c>
      <c r="I6" s="24" t="inlineStr">
        <is>
          <t>PF01</t>
        </is>
      </c>
      <c r="M6" s="24" t="inlineStr">
        <is>
          <t>Shop Fabrication</t>
        </is>
      </c>
      <c r="N6" s="24" t="inlineStr">
        <is>
          <t>Equip Not Avail</t>
        </is>
      </c>
    </row>
    <row r="7">
      <c r="A7" s="24" t="inlineStr">
        <is>
          <t>Wright, Corey</t>
        </is>
      </c>
      <c r="B7" s="24" t="n">
        <v>19061</v>
      </c>
      <c r="C7" s="24" t="inlineStr">
        <is>
          <t>PF01</t>
        </is>
      </c>
      <c r="D7" s="24" t="inlineStr">
        <is>
          <t>Pipefitter - Journeyman</t>
        </is>
      </c>
      <c r="M7" s="24" t="inlineStr">
        <is>
          <t>Shop Visit / Materials Pickup</t>
        </is>
      </c>
      <c r="N7" s="24" t="inlineStr">
        <is>
          <t>Parts/Material Not Avail</t>
        </is>
      </c>
    </row>
    <row r="8">
      <c r="M8" s="24" t="inlineStr">
        <is>
          <t>Show Up Time</t>
        </is>
      </c>
      <c r="N8" s="24" t="inlineStr">
        <is>
          <t>Permit Delay</t>
        </is>
      </c>
    </row>
    <row r="9">
      <c r="N9" s="24" t="inlineStr">
        <is>
          <t>Prev Op Not Complete</t>
        </is>
      </c>
    </row>
    <row r="10">
      <c r="N10" s="24" t="inlineStr">
        <is>
          <t>Priority Change by Owner</t>
        </is>
      </c>
    </row>
    <row r="11">
      <c r="N11" t="inlineStr">
        <is>
          <t>Safety Incident/Plant Evac</t>
        </is>
      </c>
    </row>
    <row r="12">
      <c r="N12" t="inlineStr">
        <is>
          <t>Support Not Avail - Crane</t>
        </is>
      </c>
    </row>
    <row r="13">
      <c r="N13" t="inlineStr">
        <is>
          <t>Support Not Avail - Other</t>
        </is>
      </c>
    </row>
  </sheetData>
  <mergeCells count="3">
    <mergeCell ref="K1:N1"/>
    <mergeCell ref="A1:D1"/>
    <mergeCell ref="F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2" customWidth="1" min="3" max="3"/>
    <col width="12" customWidth="1" min="4" max="4"/>
  </cols>
  <sheetData>
    <row r="1">
      <c r="A1" s="22" t="inlineStr">
        <is>
          <t>SAP WORK ORDERS  (from IW29 export — refresh each day)</t>
        </is>
      </c>
    </row>
    <row r="2">
      <c r="A2" s="23" t="inlineStr">
        <is>
          <t>Work Order</t>
        </is>
      </c>
      <c r="B2" s="23" t="inlineStr">
        <is>
          <t>Description</t>
        </is>
      </c>
      <c r="C2" s="23" t="inlineStr">
        <is>
          <t>Revision</t>
        </is>
      </c>
      <c r="D2" s="23" t="inlineStr">
        <is>
          <t>Location</t>
        </is>
      </c>
    </row>
    <row r="3">
      <c r="A3" s="24" t="inlineStr">
        <is>
          <t>40026808</t>
        </is>
      </c>
      <c r="B3" s="24" t="inlineStr">
        <is>
          <t>TA-J402-Major</t>
        </is>
      </c>
      <c r="C3" s="24" t="inlineStr">
        <is>
          <t>TA70017</t>
        </is>
      </c>
      <c r="D3" s="24" t="inlineStr">
        <is>
          <t>AMM2</t>
        </is>
      </c>
    </row>
    <row r="4">
      <c r="A4" s="24" t="inlineStr">
        <is>
          <t>40030041</t>
        </is>
      </c>
      <c r="B4" s="24" t="inlineStr">
        <is>
          <t>TA-JM104-Overhaul</t>
        </is>
      </c>
      <c r="C4" s="24" t="inlineStr">
        <is>
          <t>TA70017</t>
        </is>
      </c>
      <c r="D4" s="24" t="inlineStr">
        <is>
          <t>AMM2</t>
        </is>
      </c>
    </row>
    <row r="5">
      <c r="A5" s="24" t="inlineStr">
        <is>
          <t>60015157</t>
        </is>
      </c>
      <c r="B5" s="24" t="inlineStr">
        <is>
          <t>TA-Relocate 5kV Feeder Cables</t>
        </is>
      </c>
      <c r="C5" s="24" t="inlineStr">
        <is>
          <t>TA70017</t>
        </is>
      </c>
      <c r="D5" s="24" t="inlineStr">
        <is>
          <t>ELE1</t>
        </is>
      </c>
    </row>
    <row r="6">
      <c r="A6" s="24" t="inlineStr">
        <is>
          <t>60015158</t>
        </is>
      </c>
      <c r="B6" s="24" t="inlineStr">
        <is>
          <t>TA-T22 Increase Tap Changer</t>
        </is>
      </c>
      <c r="C6" s="24" t="inlineStr">
        <is>
          <t>TA70017</t>
        </is>
      </c>
      <c r="D6" s="24" t="inlineStr">
        <is>
          <t>ELE1</t>
        </is>
      </c>
    </row>
    <row r="7">
      <c r="A7" s="24" t="inlineStr">
        <is>
          <t>60015159</t>
        </is>
      </c>
      <c r="B7" s="24" t="inlineStr">
        <is>
          <t>TA-C/T Increase Tap Changer</t>
        </is>
      </c>
      <c r="C7" s="24" t="inlineStr">
        <is>
          <t>TA70017</t>
        </is>
      </c>
      <c r="D7" s="24" t="inlineStr">
        <is>
          <t>ELE1</t>
        </is>
      </c>
    </row>
    <row r="8">
      <c r="A8" s="24" t="inlineStr">
        <is>
          <t>60015200</t>
        </is>
      </c>
      <c r="B8" s="24" t="inlineStr">
        <is>
          <t>TA-401 Increase Tap Changer</t>
        </is>
      </c>
      <c r="C8" s="24" t="inlineStr">
        <is>
          <t>TA70017</t>
        </is>
      </c>
      <c r="D8" s="24" t="inlineStr">
        <is>
          <t>ELE1</t>
        </is>
      </c>
    </row>
    <row r="9">
      <c r="A9" s="24" t="inlineStr">
        <is>
          <t>60015201</t>
        </is>
      </c>
      <c r="B9" s="24" t="inlineStr">
        <is>
          <t>TA-Rplce HONI Poles on M2 and M8 feeders</t>
        </is>
      </c>
      <c r="C9" s="24" t="inlineStr">
        <is>
          <t>TA70017</t>
        </is>
      </c>
      <c r="D9" s="24" t="inlineStr">
        <is>
          <t>ELE1</t>
        </is>
      </c>
    </row>
    <row r="10">
      <c r="A10" s="24" t="inlineStr">
        <is>
          <t>60015202</t>
        </is>
      </c>
      <c r="B10" s="24" t="inlineStr">
        <is>
          <t>TA-Remove Unused Circuits from Sub 2</t>
        </is>
      </c>
      <c r="C10" s="24" t="inlineStr">
        <is>
          <t>TA70017</t>
        </is>
      </c>
      <c r="D10" s="24" t="inlineStr">
        <is>
          <t>ELE1</t>
        </is>
      </c>
    </row>
    <row r="11">
      <c r="A11" s="24" t="inlineStr">
        <is>
          <t>60015203</t>
        </is>
      </c>
      <c r="B11" s="24" t="inlineStr">
        <is>
          <t>TA-Remove Unused Circuits from Sub 3</t>
        </is>
      </c>
      <c r="C11" s="24" t="inlineStr">
        <is>
          <t>TA70017</t>
        </is>
      </c>
      <c r="D11" s="24" t="inlineStr">
        <is>
          <t>ELE1</t>
        </is>
      </c>
    </row>
    <row r="12">
      <c r="A12" s="24" t="inlineStr">
        <is>
          <t>60015204</t>
        </is>
      </c>
      <c r="B12" s="24" t="inlineStr">
        <is>
          <t>TA-G605B-Replace Discharge Block Valve</t>
        </is>
      </c>
      <c r="C12" s="24" t="inlineStr">
        <is>
          <t>TA70017</t>
        </is>
      </c>
      <c r="D12" s="24" t="inlineStr">
        <is>
          <t>OFS1</t>
        </is>
      </c>
    </row>
    <row r="13">
      <c r="A13" s="24" t="inlineStr">
        <is>
          <t>60015205</t>
        </is>
      </c>
      <c r="B13" s="24" t="inlineStr">
        <is>
          <t>TA-3CM109-Visual Inspection</t>
        </is>
      </c>
      <c r="C13" s="24" t="inlineStr">
        <is>
          <t>TA70019</t>
        </is>
      </c>
      <c r="D13" s="24" t="inlineStr">
        <is>
          <t>NA01</t>
        </is>
      </c>
    </row>
    <row r="14">
      <c r="A14" s="24" t="inlineStr">
        <is>
          <t>60015206</t>
        </is>
      </c>
      <c r="B14" s="24" t="inlineStr">
        <is>
          <t>TA-G105-Replace Coarse and Fine Filters</t>
        </is>
      </c>
      <c r="C14" s="24" t="inlineStr">
        <is>
          <t>TA70017</t>
        </is>
      </c>
      <c r="D14" s="24" t="inlineStr">
        <is>
          <t>AMM2</t>
        </is>
      </c>
    </row>
    <row r="15">
      <c r="A15" s="24" t="inlineStr">
        <is>
          <t>60015207</t>
        </is>
      </c>
      <c r="B15" s="24" t="inlineStr">
        <is>
          <t>TA-OLLR Repair-8FV4140 Bypass Line</t>
        </is>
      </c>
      <c r="C15" s="24" t="inlineStr">
        <is>
          <t>TA70017</t>
        </is>
      </c>
      <c r="D15" s="24" t="inlineStr">
        <is>
          <t>AMM2</t>
        </is>
      </c>
    </row>
    <row r="16">
      <c r="A16" s="24" t="inlineStr">
        <is>
          <t>60015208</t>
        </is>
      </c>
      <c r="B16" s="24" t="inlineStr">
        <is>
          <t>TA-D102-Open for Catalyst Change</t>
        </is>
      </c>
      <c r="C16" s="24" t="inlineStr">
        <is>
          <t>TA70017</t>
        </is>
      </c>
      <c r="D16" s="24" t="inlineStr">
        <is>
          <t>AMM2</t>
        </is>
      </c>
    </row>
    <row r="17">
      <c r="A17" s="24" t="inlineStr">
        <is>
          <t>60015212</t>
        </is>
      </c>
      <c r="B17" s="24" t="inlineStr">
        <is>
          <t>TA-E404A-Desiccant Change</t>
        </is>
      </c>
      <c r="C17" s="24" t="inlineStr">
        <is>
          <t>TA70017</t>
        </is>
      </c>
      <c r="D17" s="24" t="inlineStr">
        <is>
          <t>AMM2</t>
        </is>
      </c>
    </row>
    <row r="18">
      <c r="A18" s="24" t="inlineStr">
        <is>
          <t>60015213</t>
        </is>
      </c>
      <c r="B18" s="24" t="inlineStr">
        <is>
          <t>TA-E404B-Desiccant Change</t>
        </is>
      </c>
      <c r="C18" s="24" t="inlineStr">
        <is>
          <t>TA70017</t>
        </is>
      </c>
      <c r="D18" s="24" t="inlineStr">
        <is>
          <t>AMM2</t>
        </is>
      </c>
    </row>
    <row r="19">
      <c r="A19" s="24" t="inlineStr">
        <is>
          <t>60015217</t>
        </is>
      </c>
      <c r="B19" s="24" t="inlineStr">
        <is>
          <t>TA-Install A2 Master Blanks</t>
        </is>
      </c>
      <c r="C19" s="24" t="inlineStr">
        <is>
          <t>TA70017</t>
        </is>
      </c>
      <c r="D19" s="24" t="inlineStr">
        <is>
          <t>AMM2</t>
        </is>
      </c>
    </row>
    <row r="20">
      <c r="A20" s="24" t="inlineStr">
        <is>
          <t>60015218</t>
        </is>
      </c>
      <c r="B20" s="24" t="inlineStr">
        <is>
          <t>TA-Remove A2 Master Blanks</t>
        </is>
      </c>
      <c r="C20" s="24" t="inlineStr">
        <is>
          <t>TA70017</t>
        </is>
      </c>
      <c r="D20" s="24" t="inlineStr">
        <is>
          <t>AMM2</t>
        </is>
      </c>
    </row>
    <row r="21">
      <c r="A21" s="24" t="inlineStr">
        <is>
          <t>60015219</t>
        </is>
      </c>
      <c r="B21" s="24" t="inlineStr">
        <is>
          <t>TA-Nuc Source Removals</t>
        </is>
      </c>
      <c r="C21" s="24" t="inlineStr">
        <is>
          <t>TA70018</t>
        </is>
      </c>
      <c r="D21" s="24" t="inlineStr">
        <is>
          <t>URM1</t>
        </is>
      </c>
    </row>
    <row r="22">
      <c r="A22" s="24" t="inlineStr">
        <is>
          <t>60015220</t>
        </is>
      </c>
      <c r="B22" s="24" t="inlineStr">
        <is>
          <t>TA-Nuc Source Installations</t>
        </is>
      </c>
      <c r="C22" s="24" t="inlineStr">
        <is>
          <t>TA70018</t>
        </is>
      </c>
      <c r="D22" s="24" t="inlineStr">
        <is>
          <t>URM1</t>
        </is>
      </c>
    </row>
    <row r="23">
      <c r="A23" s="24" t="inlineStr">
        <is>
          <t>60015223</t>
        </is>
      </c>
      <c r="B23" s="24" t="inlineStr">
        <is>
          <t>TA-OLLR Removal-ROB Near L501s</t>
        </is>
      </c>
      <c r="C23" s="24" t="inlineStr">
        <is>
          <t>TA70017</t>
        </is>
      </c>
      <c r="D23" s="24" t="inlineStr">
        <is>
          <t>AMM2</t>
        </is>
      </c>
    </row>
    <row r="24">
      <c r="A24" s="24" t="inlineStr">
        <is>
          <t>60015225</t>
        </is>
      </c>
      <c r="B24" s="24" t="inlineStr">
        <is>
          <t>TA-G401-Replace Insulation</t>
        </is>
      </c>
      <c r="C24" s="24" t="inlineStr">
        <is>
          <t>TA70017</t>
        </is>
      </c>
      <c r="D24" s="24" t="inlineStr">
        <is>
          <t>AMM2</t>
        </is>
      </c>
    </row>
    <row r="25">
      <c r="A25" s="24" t="inlineStr">
        <is>
          <t>60015183</t>
        </is>
      </c>
      <c r="B25" s="24" t="inlineStr">
        <is>
          <t>TA-5XV7364-Top Removal/Overhaul</t>
        </is>
      </c>
      <c r="C25" s="24" t="inlineStr">
        <is>
          <t>TA70017</t>
        </is>
      </c>
      <c r="D25" s="24" t="inlineStr">
        <is>
          <t>UTI1</t>
        </is>
      </c>
    </row>
    <row r="26">
      <c r="A26" s="24" t="inlineStr">
        <is>
          <t>60015184</t>
        </is>
      </c>
      <c r="B26" s="24" t="inlineStr">
        <is>
          <t>TA-5XV7366-Top Removal/Overhaul</t>
        </is>
      </c>
      <c r="C26" s="24" t="inlineStr">
        <is>
          <t>TA70017</t>
        </is>
      </c>
      <c r="D26" s="24" t="inlineStr">
        <is>
          <t>UTI1</t>
        </is>
      </c>
    </row>
    <row r="27">
      <c r="A27" s="24" t="inlineStr">
        <is>
          <t>60015260</t>
        </is>
      </c>
      <c r="B27" s="24" t="inlineStr">
        <is>
          <t>TA-E22-097-Site Ladder Upgrades</t>
        </is>
      </c>
      <c r="C27" s="24" t="inlineStr">
        <is>
          <t>TA70017</t>
        </is>
      </c>
      <c r="D27" s="24" t="inlineStr">
        <is>
          <t>GRN1</t>
        </is>
      </c>
    </row>
    <row r="28">
      <c r="A28" s="24" t="inlineStr">
        <is>
          <t>20000752</t>
        </is>
      </c>
      <c r="B28" s="24" t="inlineStr">
        <is>
          <t>E22-097-Site Ladder Upgrades</t>
        </is>
      </c>
      <c r="C28" s="24" t="inlineStr">
        <is>
          <t>TA70017</t>
        </is>
      </c>
      <c r="D28" s="24" t="inlineStr">
        <is>
          <t>FAC1</t>
        </is>
      </c>
    </row>
    <row r="29">
      <c r="A29" s="24" t="inlineStr">
        <is>
          <t>60015343</t>
        </is>
      </c>
      <c r="B29" s="24" t="inlineStr">
        <is>
          <t>TA-J810A-Nozzle,Screens &amp; Header Insp</t>
        </is>
      </c>
      <c r="C29" s="24" t="inlineStr">
        <is>
          <t>TA70017</t>
        </is>
      </c>
      <c r="D29" s="24" t="inlineStr"/>
    </row>
    <row r="30">
      <c r="A30" s="24" t="inlineStr">
        <is>
          <t>60015344</t>
        </is>
      </c>
      <c r="B30" s="24" t="inlineStr">
        <is>
          <t>TA-J810B-Nozzle,Screens &amp; Header Insp</t>
        </is>
      </c>
      <c r="C30" s="24" t="inlineStr">
        <is>
          <t>TA70017</t>
        </is>
      </c>
      <c r="D30" s="24" t="inlineStr">
        <is>
          <t>AMM2</t>
        </is>
      </c>
    </row>
    <row r="31">
      <c r="A31" s="24" t="inlineStr">
        <is>
          <t>60015345</t>
        </is>
      </c>
      <c r="B31" s="24" t="inlineStr">
        <is>
          <t>TA-J810C-Nozzle,Screens &amp; Header Insp</t>
        </is>
      </c>
      <c r="C31" s="24" t="inlineStr">
        <is>
          <t>TA70017</t>
        </is>
      </c>
      <c r="D31" s="24" t="inlineStr">
        <is>
          <t>AMM2</t>
        </is>
      </c>
    </row>
    <row r="32">
      <c r="A32" s="24" t="inlineStr">
        <is>
          <t>60015350</t>
        </is>
      </c>
      <c r="B32" s="24" t="inlineStr">
        <is>
          <t>TA-T1 Sight Glass Replace/Eliminate</t>
        </is>
      </c>
      <c r="C32" s="24" t="inlineStr">
        <is>
          <t>TA70018</t>
        </is>
      </c>
      <c r="D32" s="24" t="inlineStr">
        <is>
          <t>URM1</t>
        </is>
      </c>
    </row>
    <row r="33">
      <c r="A33" s="24" t="inlineStr">
        <is>
          <t>60015351</t>
        </is>
      </c>
      <c r="B33" s="24" t="inlineStr">
        <is>
          <t>TA-E121 Sight Glass Replace/Eliminate</t>
        </is>
      </c>
      <c r="C33" s="24" t="inlineStr">
        <is>
          <t>TA70018</t>
        </is>
      </c>
      <c r="D33" s="24" t="inlineStr">
        <is>
          <t>URM1</t>
        </is>
      </c>
    </row>
    <row r="34">
      <c r="A34" s="24" t="inlineStr">
        <is>
          <t>60015352</t>
        </is>
      </c>
      <c r="B34" s="24" t="inlineStr">
        <is>
          <t>TA-E122 Sight Glass Replace/Eliminate</t>
        </is>
      </c>
      <c r="C34" s="24" t="inlineStr">
        <is>
          <t>TA70018</t>
        </is>
      </c>
      <c r="D34" s="24" t="inlineStr">
        <is>
          <t>URM1</t>
        </is>
      </c>
    </row>
    <row r="35">
      <c r="A35" s="24" t="inlineStr">
        <is>
          <t>60015353</t>
        </is>
      </c>
      <c r="B35" s="24" t="inlineStr">
        <is>
          <t>TA-E123 Sight Glass Replace/Eliminate</t>
        </is>
      </c>
      <c r="C35" s="24" t="inlineStr">
        <is>
          <t>TA70018</t>
        </is>
      </c>
      <c r="D35" s="24" t="inlineStr">
        <is>
          <t>URM1</t>
        </is>
      </c>
    </row>
    <row r="36">
      <c r="A36" s="24" t="inlineStr">
        <is>
          <t>40031322</t>
        </is>
      </c>
      <c r="B36" s="24" t="inlineStr">
        <is>
          <t>TA-D120-Replace Sight Glass with New</t>
        </is>
      </c>
      <c r="C36" s="24" t="inlineStr">
        <is>
          <t>TA70018</t>
        </is>
      </c>
      <c r="D36" s="24" t="inlineStr">
        <is>
          <t>URM1</t>
        </is>
      </c>
    </row>
    <row r="37">
      <c r="A37" s="24" t="inlineStr">
        <is>
          <t>40031323</t>
        </is>
      </c>
      <c r="B37" s="24" t="inlineStr">
        <is>
          <t>TA-D121-Replace Sight Glass with New</t>
        </is>
      </c>
      <c r="C37" s="24" t="inlineStr">
        <is>
          <t>TA70018</t>
        </is>
      </c>
      <c r="D37" s="24" t="inlineStr">
        <is>
          <t>URM1</t>
        </is>
      </c>
    </row>
    <row r="38">
      <c r="A38" s="24" t="inlineStr">
        <is>
          <t>80000382</t>
        </is>
      </c>
      <c r="B38" s="24" t="inlineStr">
        <is>
          <t>TA 2026 - Indirect Blast Resistant Trail</t>
        </is>
      </c>
      <c r="C38" s="24" t="inlineStr">
        <is>
          <t>TA70017</t>
        </is>
      </c>
      <c r="D38" s="24" t="inlineStr">
        <is>
          <t>AMM2</t>
        </is>
      </c>
    </row>
    <row r="39">
      <c r="A39" s="24" t="inlineStr">
        <is>
          <t>80000383</t>
        </is>
      </c>
      <c r="B39" s="24" t="inlineStr">
        <is>
          <t>TA 2026 - Indirect Blast Resistant Trail</t>
        </is>
      </c>
      <c r="C39" s="24" t="inlineStr">
        <is>
          <t>TA70019</t>
        </is>
      </c>
      <c r="D39" s="24" t="inlineStr">
        <is>
          <t>NA01</t>
        </is>
      </c>
    </row>
    <row r="40">
      <c r="A40" s="24" t="inlineStr">
        <is>
          <t>80000384</t>
        </is>
      </c>
      <c r="B40" s="24" t="inlineStr">
        <is>
          <t>TA 2026 - Indirect Blast Resistant Trail</t>
        </is>
      </c>
      <c r="C40" s="24" t="inlineStr">
        <is>
          <t>TA70018</t>
        </is>
      </c>
      <c r="D40" s="24" t="inlineStr">
        <is>
          <t>URM1</t>
        </is>
      </c>
    </row>
    <row r="41">
      <c r="A41" s="24" t="inlineStr">
        <is>
          <t>80000385</t>
        </is>
      </c>
      <c r="B41" s="24" t="inlineStr">
        <is>
          <t>TA 2026 - Rental Equipment for NA</t>
        </is>
      </c>
      <c r="C41" s="24" t="inlineStr">
        <is>
          <t>TA70019</t>
        </is>
      </c>
      <c r="D41" s="24" t="inlineStr">
        <is>
          <t>NA01</t>
        </is>
      </c>
    </row>
    <row r="42">
      <c r="A42" s="24" t="inlineStr">
        <is>
          <t>60029962</t>
        </is>
      </c>
      <c r="B42" s="24" t="inlineStr">
        <is>
          <t>TA-8PV3095-Overhaul</t>
        </is>
      </c>
      <c r="C42" s="24" t="inlineStr">
        <is>
          <t>TA70017</t>
        </is>
      </c>
      <c r="D42" s="24" t="inlineStr">
        <is>
          <t>AMM2</t>
        </is>
      </c>
    </row>
    <row r="43">
      <c r="A43" s="24" t="inlineStr">
        <is>
          <t>60029964</t>
        </is>
      </c>
      <c r="B43" s="24" t="inlineStr">
        <is>
          <t>TA-8PV4150-Overhaul</t>
        </is>
      </c>
      <c r="C43" s="24" t="inlineStr">
        <is>
          <t>TA70017</t>
        </is>
      </c>
      <c r="D43" s="24" t="inlineStr">
        <is>
          <t>AMM2</t>
        </is>
      </c>
    </row>
    <row r="44">
      <c r="A44" s="24" t="inlineStr">
        <is>
          <t>60029965</t>
        </is>
      </c>
      <c r="B44" s="24" t="inlineStr">
        <is>
          <t>TA-C/T A Cell Isolation Repair/Replace</t>
        </is>
      </c>
      <c r="C44" s="24" t="inlineStr">
        <is>
          <t>TA70017</t>
        </is>
      </c>
      <c r="D44" s="24" t="inlineStr">
        <is>
          <t>AMM2</t>
        </is>
      </c>
    </row>
    <row r="45">
      <c r="A45" s="24" t="inlineStr">
        <is>
          <t>60029967</t>
        </is>
      </c>
      <c r="B45" s="24" t="inlineStr">
        <is>
          <t>TA-C/T B Cell Isolation Repair/Replace</t>
        </is>
      </c>
      <c r="C45" s="24" t="inlineStr">
        <is>
          <t>TA70017</t>
        </is>
      </c>
      <c r="D45" s="24" t="inlineStr">
        <is>
          <t>AMM2</t>
        </is>
      </c>
    </row>
    <row r="46">
      <c r="A46" s="24" t="inlineStr">
        <is>
          <t>60029968</t>
        </is>
      </c>
      <c r="B46" s="24" t="inlineStr">
        <is>
          <t>TA-C/T C Cell Isolation Repair/Replace</t>
        </is>
      </c>
      <c r="C46" s="24" t="inlineStr">
        <is>
          <t>TA70017</t>
        </is>
      </c>
      <c r="D46" s="24" t="inlineStr">
        <is>
          <t>AMM2</t>
        </is>
      </c>
    </row>
    <row r="47">
      <c r="A47" s="24" t="inlineStr">
        <is>
          <t>60029988</t>
        </is>
      </c>
      <c r="B47" s="24" t="inlineStr">
        <is>
          <t>TA - Grinnel Valve overhauls</t>
        </is>
      </c>
      <c r="C47" s="24" t="inlineStr">
        <is>
          <t>TA70017</t>
        </is>
      </c>
      <c r="D47" s="24" t="inlineStr">
        <is>
          <t>UTI1</t>
        </is>
      </c>
    </row>
    <row r="48">
      <c r="A48" s="24" t="inlineStr">
        <is>
          <t>60030326</t>
        </is>
      </c>
      <c r="B48" s="24" t="inlineStr">
        <is>
          <t>Install Urea Master Blanks</t>
        </is>
      </c>
      <c r="C48" s="24" t="inlineStr">
        <is>
          <t>TA70018</t>
        </is>
      </c>
      <c r="D48" s="24" t="inlineStr">
        <is>
          <t>URM1</t>
        </is>
      </c>
    </row>
    <row r="49">
      <c r="A49" s="24" t="inlineStr">
        <is>
          <t>60030327</t>
        </is>
      </c>
      <c r="B49" s="24" t="inlineStr">
        <is>
          <t>Remove Urea Master Blanks</t>
        </is>
      </c>
      <c r="C49" s="24" t="inlineStr">
        <is>
          <t>TA70018</t>
        </is>
      </c>
      <c r="D49" s="24" t="inlineStr">
        <is>
          <t>URM1</t>
        </is>
      </c>
    </row>
    <row r="50">
      <c r="A50" s="24" t="inlineStr">
        <is>
          <t>60030328</t>
        </is>
      </c>
      <c r="B50" s="24" t="inlineStr">
        <is>
          <t>Install Nitric Acid Master Blanks</t>
        </is>
      </c>
      <c r="C50" s="24" t="inlineStr">
        <is>
          <t>TA70019</t>
        </is>
      </c>
      <c r="D50" s="24" t="inlineStr">
        <is>
          <t>NA01</t>
        </is>
      </c>
    </row>
    <row r="51">
      <c r="A51" s="24" t="inlineStr">
        <is>
          <t>60030330</t>
        </is>
      </c>
      <c r="B51" s="24" t="inlineStr">
        <is>
          <t>Remove Nitric Acid Master Blanks</t>
        </is>
      </c>
      <c r="C51" s="24" t="inlineStr">
        <is>
          <t>TA70019</t>
        </is>
      </c>
      <c r="D51" s="24" t="inlineStr">
        <is>
          <t>NA01</t>
        </is>
      </c>
    </row>
    <row r="52">
      <c r="A52" s="24" t="inlineStr">
        <is>
          <t>60039047</t>
        </is>
      </c>
      <c r="B52" s="24" t="inlineStr">
        <is>
          <t>A2 and Distribution PSV Overhauls</t>
        </is>
      </c>
      <c r="C52" s="24" t="inlineStr">
        <is>
          <t>TA70017</t>
        </is>
      </c>
      <c r="D52" s="24" t="inlineStr">
        <is>
          <t>AMM2</t>
        </is>
      </c>
    </row>
    <row r="53">
      <c r="A53" s="24" t="inlineStr">
        <is>
          <t>60039048</t>
        </is>
      </c>
      <c r="B53" s="24" t="inlineStr">
        <is>
          <t>Urea PSV Overhauls</t>
        </is>
      </c>
      <c r="C53" s="24" t="inlineStr">
        <is>
          <t>TA70018</t>
        </is>
      </c>
      <c r="D53" s="24" t="inlineStr"/>
    </row>
    <row r="54">
      <c r="A54" s="24" t="inlineStr">
        <is>
          <t>60039050</t>
        </is>
      </c>
      <c r="B54" s="24" t="inlineStr">
        <is>
          <t>Nitric Acid PSV Overhauls</t>
        </is>
      </c>
      <c r="C54" s="24" t="inlineStr">
        <is>
          <t>TA70019</t>
        </is>
      </c>
      <c r="D54" s="24" t="inlineStr"/>
    </row>
    <row r="55">
      <c r="A55" s="24" t="inlineStr">
        <is>
          <t>60039266</t>
        </is>
      </c>
      <c r="B55" s="24" t="inlineStr">
        <is>
          <t>TA–8PSV1906–Overhaul</t>
        </is>
      </c>
      <c r="C55" s="24" t="inlineStr">
        <is>
          <t>TA70017</t>
        </is>
      </c>
      <c r="D55" s="24" t="inlineStr">
        <is>
          <t>AMM2</t>
        </is>
      </c>
    </row>
    <row r="56">
      <c r="A56" s="24" t="inlineStr">
        <is>
          <t>60039267</t>
        </is>
      </c>
      <c r="B56" s="24" t="inlineStr">
        <is>
          <t>TA–8PSV1916A–Overhaul</t>
        </is>
      </c>
      <c r="C56" s="24" t="inlineStr">
        <is>
          <t>TA70017</t>
        </is>
      </c>
      <c r="D56" s="24" t="inlineStr">
        <is>
          <t>AMM2</t>
        </is>
      </c>
    </row>
    <row r="57">
      <c r="A57" s="24" t="inlineStr">
        <is>
          <t>60039268</t>
        </is>
      </c>
      <c r="B57" s="24" t="inlineStr">
        <is>
          <t>TA–8PSV1916B–Overhaul</t>
        </is>
      </c>
      <c r="C57" s="24" t="inlineStr">
        <is>
          <t>TA70017</t>
        </is>
      </c>
      <c r="D57" s="24" t="inlineStr">
        <is>
          <t>AMM2</t>
        </is>
      </c>
    </row>
    <row r="58">
      <c r="A58" s="24" t="inlineStr">
        <is>
          <t>60039269</t>
        </is>
      </c>
      <c r="B58" s="24" t="inlineStr">
        <is>
          <t>TA–8PSV1918A–Overhaul</t>
        </is>
      </c>
      <c r="C58" s="24" t="inlineStr">
        <is>
          <t>TA70017</t>
        </is>
      </c>
      <c r="D58" s="24" t="inlineStr">
        <is>
          <t>AMM2</t>
        </is>
      </c>
    </row>
    <row r="59">
      <c r="A59" s="24" t="inlineStr">
        <is>
          <t>60039270</t>
        </is>
      </c>
      <c r="B59" s="24" t="inlineStr">
        <is>
          <t>TA–8PSV1918B–Overhaul</t>
        </is>
      </c>
      <c r="C59" s="24" t="inlineStr">
        <is>
          <t>TA70017</t>
        </is>
      </c>
      <c r="D59" s="24" t="inlineStr">
        <is>
          <t>AMM2</t>
        </is>
      </c>
    </row>
    <row r="60">
      <c r="A60" s="24" t="inlineStr">
        <is>
          <t>60039271</t>
        </is>
      </c>
      <c r="B60" s="24" t="inlineStr">
        <is>
          <t>TA–8PSV1920A–Overhaul</t>
        </is>
      </c>
      <c r="C60" s="24" t="inlineStr">
        <is>
          <t>TA70017</t>
        </is>
      </c>
      <c r="D60" s="24" t="inlineStr">
        <is>
          <t>AMM2</t>
        </is>
      </c>
    </row>
    <row r="61">
      <c r="A61" s="24" t="inlineStr">
        <is>
          <t>60039272</t>
        </is>
      </c>
      <c r="B61" s="24" t="inlineStr">
        <is>
          <t>TA–8PSV1920B–Overhaul</t>
        </is>
      </c>
      <c r="C61" s="24" t="inlineStr">
        <is>
          <t>TA70017</t>
        </is>
      </c>
      <c r="D61" s="24" t="inlineStr">
        <is>
          <t>AMM2</t>
        </is>
      </c>
    </row>
    <row r="62">
      <c r="A62" s="24" t="inlineStr">
        <is>
          <t>60039273</t>
        </is>
      </c>
      <c r="B62" s="24" t="inlineStr">
        <is>
          <t>TA–8PSV1921–Overhaul</t>
        </is>
      </c>
      <c r="C62" s="24" t="inlineStr">
        <is>
          <t>TA70017</t>
        </is>
      </c>
      <c r="D62" s="24" t="inlineStr">
        <is>
          <t>AMM2</t>
        </is>
      </c>
    </row>
    <row r="63">
      <c r="A63" s="24" t="inlineStr">
        <is>
          <t>60039275</t>
        </is>
      </c>
      <c r="B63" s="24" t="inlineStr">
        <is>
          <t>TA–8PSV1922–Overhaul</t>
        </is>
      </c>
      <c r="C63" s="24" t="inlineStr">
        <is>
          <t>TA70017</t>
        </is>
      </c>
      <c r="D63" s="24" t="inlineStr">
        <is>
          <t>AMM2</t>
        </is>
      </c>
    </row>
    <row r="64">
      <c r="A64" s="24" t="inlineStr">
        <is>
          <t>60039276</t>
        </is>
      </c>
      <c r="B64" s="24" t="inlineStr">
        <is>
          <t>TA–8PSV1987–Overhaul</t>
        </is>
      </c>
      <c r="C64" s="24" t="inlineStr">
        <is>
          <t>TA70017</t>
        </is>
      </c>
      <c r="D64" s="24" t="inlineStr">
        <is>
          <t>AMM2</t>
        </is>
      </c>
    </row>
    <row r="65">
      <c r="A65" s="24" t="inlineStr">
        <is>
          <t>60039277</t>
        </is>
      </c>
      <c r="B65" s="24" t="inlineStr">
        <is>
          <t>TA–8PSV4236–Overhaul</t>
        </is>
      </c>
      <c r="C65" s="24" t="inlineStr">
        <is>
          <t>TA70017</t>
        </is>
      </c>
      <c r="D65" s="24" t="inlineStr">
        <is>
          <t>AMM2</t>
        </is>
      </c>
    </row>
    <row r="66">
      <c r="A66" s="24" t="inlineStr">
        <is>
          <t>60039278</t>
        </is>
      </c>
      <c r="B66" s="24" t="inlineStr">
        <is>
          <t>TA–8PSV4912–Overhaul</t>
        </is>
      </c>
      <c r="C66" s="24" t="inlineStr">
        <is>
          <t>TA70017</t>
        </is>
      </c>
      <c r="D66" s="24" t="inlineStr">
        <is>
          <t>AMM2</t>
        </is>
      </c>
    </row>
    <row r="67">
      <c r="A67" s="24" t="inlineStr">
        <is>
          <t>60039279</t>
        </is>
      </c>
      <c r="B67" s="24" t="inlineStr">
        <is>
          <t>TA–8PSV5199–Overhaul</t>
        </is>
      </c>
      <c r="C67" s="24" t="inlineStr">
        <is>
          <t>TA70017</t>
        </is>
      </c>
      <c r="D67" s="24" t="inlineStr">
        <is>
          <t>AMM2</t>
        </is>
      </c>
    </row>
    <row r="68">
      <c r="A68" s="24" t="inlineStr">
        <is>
          <t>60039280</t>
        </is>
      </c>
      <c r="B68" s="24" t="inlineStr">
        <is>
          <t>TA–8PSV5909–Overhaul</t>
        </is>
      </c>
      <c r="C68" s="24" t="inlineStr">
        <is>
          <t>TA70017</t>
        </is>
      </c>
      <c r="D68" s="24" t="inlineStr">
        <is>
          <t>AMM2</t>
        </is>
      </c>
    </row>
    <row r="69">
      <c r="A69" s="24" t="inlineStr">
        <is>
          <t>60041236</t>
        </is>
      </c>
      <c r="B69" s="24" t="inlineStr">
        <is>
          <t>TA - A2 Valve Survey Followup Repairs</t>
        </is>
      </c>
      <c r="C69" s="24" t="inlineStr">
        <is>
          <t>TA70017</t>
        </is>
      </c>
      <c r="D69" s="24" t="inlineStr">
        <is>
          <t>AMM2</t>
        </is>
      </c>
    </row>
    <row r="70">
      <c r="A70" s="24" t="inlineStr">
        <is>
          <t>60041401</t>
        </is>
      </c>
      <c r="B70" s="24" t="inlineStr">
        <is>
          <t>TA - C410A Replace Head and Others</t>
        </is>
      </c>
      <c r="C70" s="24" t="inlineStr">
        <is>
          <t>TA70017</t>
        </is>
      </c>
      <c r="D70" s="24" t="inlineStr">
        <is>
          <t>AMM2</t>
        </is>
      </c>
    </row>
    <row r="71">
      <c r="A71" s="24" t="inlineStr">
        <is>
          <t>60041402</t>
        </is>
      </c>
      <c r="B71" s="24" t="inlineStr">
        <is>
          <t>TA - C410B Replace Head and Others</t>
        </is>
      </c>
      <c r="C71" s="24" t="inlineStr">
        <is>
          <t>TA70017</t>
        </is>
      </c>
      <c r="D71" s="24" t="inlineStr">
        <is>
          <t>AMM2</t>
        </is>
      </c>
    </row>
    <row r="72">
      <c r="A72" s="24" t="inlineStr">
        <is>
          <t>60041403</t>
        </is>
      </c>
      <c r="B72" s="24" t="inlineStr">
        <is>
          <t>TA - Cat Combustor</t>
        </is>
      </c>
      <c r="C72" s="24" t="inlineStr">
        <is>
          <t>TA70019</t>
        </is>
      </c>
      <c r="D72" s="24" t="inlineStr">
        <is>
          <t>NA01</t>
        </is>
      </c>
    </row>
    <row r="73">
      <c r="A73" s="24" t="inlineStr">
        <is>
          <t>60041408</t>
        </is>
      </c>
      <c r="B73" s="24" t="inlineStr">
        <is>
          <t>TA–3PSV4333–Overhaul</t>
        </is>
      </c>
      <c r="C73" s="24" t="inlineStr">
        <is>
          <t>TA70019</t>
        </is>
      </c>
      <c r="D73" s="24" t="inlineStr">
        <is>
          <t>NA01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25" t="inlineStr">
        <is>
          <t>CF Turnaround Timesheet — FAQ</t>
        </is>
      </c>
    </row>
    <row r="3" ht="20" customHeight="1">
      <c r="B3" s="26" t="inlineStr">
        <is>
          <t>Work order formatting</t>
        </is>
      </c>
    </row>
    <row r="4" ht="30" customHeight="1">
      <c r="B4" s="27" t="inlineStr">
        <is>
          <t>• The Work Order column pulls valid SAP order numbers from the 'Work Orders' tab (refreshed daily from the IW29 export). Pick from the dropdown so the number always matches SAP.</t>
        </is>
      </c>
    </row>
    <row r="5" ht="30" customHeight="1">
      <c r="B5" s="27" t="inlineStr">
        <is>
          <t>• Need to add detail? Use the 'Work Order Description' column or the header WORK ORDER box — both accept free text and expand.</t>
        </is>
      </c>
    </row>
    <row r="6" ht="30" customHeight="1">
      <c r="B6" s="27" t="inlineStr">
        <is>
          <t>• A work order number that isn't on the 'Work Orders' tab means it's not in today's IW29 pull — check the revision/date or ask the planner before entering it manually.</t>
        </is>
      </c>
    </row>
    <row r="8" ht="20" customHeight="1">
      <c r="B8" s="26" t="inlineStr">
        <is>
          <t>Adding employees</t>
        </is>
      </c>
    </row>
    <row r="9" ht="30" customHeight="1">
      <c r="B9" s="27" t="inlineStr">
        <is>
          <t>• Go to the 'Reference' tab, EMPLOYEES block. Add the person's Name, CF ID, default Work Center and default Trade on the next empty row.</t>
        </is>
      </c>
    </row>
    <row r="10" ht="30" customHeight="1">
      <c r="B10" s="27" t="inlineStr">
        <is>
          <t>• The Employee Name dropdown on the Timesheet updates automatically (the list has room for ~200 names).</t>
        </is>
      </c>
    </row>
    <row r="11" ht="30" customHeight="1">
      <c r="B11" s="27" t="inlineStr">
        <is>
          <t>• CF ID auto-fills on the Timesheet once the name is chosen. If you see a red cell / '?', the name isn't in Reference yet — add it.</t>
        </is>
      </c>
    </row>
    <row r="13" ht="20" customHeight="1">
      <c r="B13" s="26" t="inlineStr">
        <is>
          <t>Adding roles / trades</t>
        </is>
      </c>
    </row>
    <row r="14" ht="30" customHeight="1">
      <c r="B14" s="27" t="inlineStr">
        <is>
          <t>• On the 'Reference' tab, TRADES block, add the Trade/Position, its SAP Activity Type (e.g. CI203), the Activity Type Description, and Work Center.</t>
        </is>
      </c>
    </row>
    <row r="15" ht="30" customHeight="1">
      <c r="B15" s="27" t="inlineStr">
        <is>
          <t>• Straight time vs double time are separate activity types (…ST vs …DT) — add a row for each rate you need.</t>
        </is>
      </c>
    </row>
    <row r="16" ht="30" customHeight="1">
      <c r="B16" s="27" t="inlineStr">
        <is>
          <t>• The Activity Type on the Timesheet auto-fills from the trade you pick. A red cell / '?' means that trade isn't mapped yet.</t>
        </is>
      </c>
    </row>
    <row r="18" ht="20" customHeight="1">
      <c r="B18" s="26" t="inlineStr">
        <is>
          <t>Checks built into the sheet</t>
        </is>
      </c>
    </row>
    <row r="19" ht="30" customHeight="1">
      <c r="B19" s="27" t="inlineStr">
        <is>
          <t>• Red employee cell = name not found in Reference. Red trade cell = trade not mapped to an activity type.</t>
        </is>
      </c>
    </row>
    <row r="20" ht="30" customHeight="1">
      <c r="B20" s="27" t="inlineStr">
        <is>
          <t>• Enter each person's Lenel swipe hours in the 'Lenel Hours' column; the 'Deviation' column turns red when booked hours don't match the swipe.</t>
        </is>
      </c>
    </row>
    <row r="21" ht="30" customHeight="1">
      <c r="B21" s="27" t="inlineStr">
        <is>
          <t>• Total Hours turns red if it exceeds 16 or is negative; it turns amber if RT + DT don't add up to the Total.</t>
        </is>
      </c>
    </row>
    <row r="22" ht="30" customHeight="1">
      <c r="B22" s="27" t="inlineStr">
        <is>
          <t>• Use the 'Swipe Deviation Reason' and 'Hold Up Type' dropdowns to explain any approved deviation.</t>
        </is>
      </c>
    </row>
    <row r="24" ht="20" customHeight="1">
      <c r="B24" s="26" t="inlineStr">
        <is>
          <t>Daily workflow (reference)</t>
        </is>
      </c>
    </row>
    <row r="25" ht="60" customHeight="1">
      <c r="B25" s="27" t="inlineStr">
        <is>
          <t>1. Planner pulls IW37N/IW29 → paste into 'Work Orders' tab.  2. Pull Lenel swipe export.  3. Receive timecards.  4. Fill the Timesheet + Lenel Hours.  5. Work through red flags &amp; swipe deviations.  6. Allocate hours to op steps.  7. Export to Excel / pivot for approvals.  8. Upload to SAP (split by op step).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2026-07-22T15:13:40Z</dcterms:created>
  <dcterms:modified xsi:type="dcterms:W3CDTF">2026-07-22T15:13:40Z</dcterms:modified>
</cp:coreProperties>
</file>