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worksheets/sheet2.xml" ContentType="application/vnd.openxmlformats-officedocument.spreadsheetml.worksheet+xml"/>
  <Override PartName="/xl/tables/table11.xml" ContentType="application/vnd.openxmlformats-officedocument.spreadsheetml.table+xml"/>
  <Override PartName="/xl/worksheets/sheet3.xml" ContentType="application/vnd.openxmlformats-officedocument.spreadsheetml.worksheet+xml"/>
  <Override PartName="/xl/tables/table12.xml" ContentType="application/vnd.openxmlformats-officedocument.spreadsheetml.table+xml"/>
  <Override PartName="/xl/worksheets/sheet4.xml" ContentType="application/vnd.openxmlformats-officedocument.spreadsheetml.worksheet+xml"/>
  <Override PartName="/xl/tables/table13.xml" ContentType="application/vnd.openxmlformats-officedocument.spreadsheetml.table+xml"/>
  <Override PartName="/xl/worksheets/sheet5.xml" ContentType="application/vnd.openxmlformats-officedocument.spreadsheetml.worksheet+xml"/>
  <Override PartName="/xl/tables/table14.xml" ContentType="application/vnd.openxmlformats-officedocument.spreadsheetml.table+xml"/>
  <Override PartName="/xl/worksheets/sheet6.xml" ContentType="application/vnd.openxmlformats-officedocument.spreadsheetml.worksheet+xml"/>
  <Override PartName="/xl/tables/table15.xml" ContentType="application/vnd.openxmlformats-officedocument.spreadsheetml.table+xml"/>
  <Override PartName="/xl/worksheets/sheet7.xml" ContentType="application/vnd.openxmlformats-officedocument.spreadsheetml.worksheet+xml"/>
  <Override PartName="/xl/tables/table16.xml" ContentType="application/vnd.openxmlformats-officedocument.spreadsheetml.table+xml"/>
  <Override PartName="/xl/worksheets/sheet8.xml" ContentType="application/vnd.openxmlformats-officedocument.spreadsheetml.worksheet+xml"/>
  <Override PartName="/xl/tables/table17.xml" ContentType="application/vnd.openxmlformats-officedocument.spreadsheetml.table+xml"/>
  <Override PartName="/xl/worksheets/sheet9.xml" ContentType="application/vnd.openxmlformats-officedocument.spreadsheetml.worksheet+xml"/>
  <Override PartName="/xl/tables/table18.xml" ContentType="application/vnd.openxmlformats-officedocument.spreadsheetml.table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57480" yWindow="1620" windowWidth="29040" windowHeight="15720" tabRatio="703" firstSheet="9" activeTab="9" autoFilterDateGrouping="1"/>
  </bookViews>
  <sheets>
    <sheet name="Lookup" sheetId="1" state="hidden" r:id="rId1"/>
    <sheet name="Timecard Approved Offsite" sheetId="2" state="hidden" r:id="rId2"/>
    <sheet name="Timecard Hold Up Types" sheetId="3" state="hidden" r:id="rId3"/>
    <sheet name="Timecard Shift" sheetId="4" state="hidden" r:id="rId4"/>
    <sheet name="Timecard Shop Locations" sheetId="5" state="hidden" r:id="rId5"/>
    <sheet name="Timecard Equipment" sheetId="6" state="hidden" r:id="rId6"/>
    <sheet name="Timecard Companies" sheetId="7" state="hidden" r:id="rId7"/>
    <sheet name="Timecard Employee Names" sheetId="8" state="hidden" r:id="rId8"/>
    <sheet name="Timecard Trades" sheetId="9" state="hidden" r:id="rId9"/>
    <sheet name="Timesheet" sheetId="10" state="visible" r:id="rId10"/>
  </sheets>
  <externalReferences>
    <externalReference r:id="rId11"/>
  </externalReferences>
  <definedNames>
    <definedName name="Equipment_Range">[1]!ListTable[Equipment]</definedName>
    <definedName name="ExternalData_8" localSheetId="1" hidden="1">'Timecard Approved Offsite'!$A$1:$A$17</definedName>
    <definedName name="ExternalData_7" localSheetId="2" hidden="1">'Timecard Hold Up Types'!$A$1:$A$15</definedName>
    <definedName name="ExternalData_6" localSheetId="3" hidden="1">'Timecard Shift'!$A$1:$A$3</definedName>
    <definedName name="ExternalData_5" localSheetId="4" hidden="1">'Timecard Shop Locations'!$A$1:$A$4</definedName>
    <definedName name="ExternalData_4" localSheetId="5" hidden="1">'Timecard Equipment'!$A$1:$A$348</definedName>
    <definedName name="ExternalData_3" localSheetId="6" hidden="1">'Timecard Companies'!$A$1:$A$90</definedName>
    <definedName name="ExternalData_2" localSheetId="7" hidden="1">'Timecard Employee Names'!$A$1:$A$546</definedName>
    <definedName name="ExternalData_1" localSheetId="8" hidden="1">'Timecard Trades'!$A$1:$A$89</definedName>
    <definedName name="_xlnm.Print_Titles" localSheetId="9">'Timesheet'!$C:$D</definedName>
    <definedName name="_xlnm.Print_Area" localSheetId="9">'Timesheet'!$C$1:$AY$53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[$-1009]d/mmm/yy;@"/>
  </numFmts>
  <fonts count="18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sz val="10"/>
    </font>
    <font>
      <name val="Calibri"/>
      <family val="2"/>
      <b val="1"/>
      <color theme="0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sz val="8"/>
      <scheme val="minor"/>
    </font>
    <font>
      <name val="Calibri"/>
      <b val="1"/>
      <color rgb="00015846"/>
      <sz val="14"/>
    </font>
    <font>
      <name val="Calibri"/>
      <color rgb="006B7A77"/>
      <sz val="10"/>
    </font>
    <font>
      <name val="Calibri"/>
      <b val="1"/>
      <color rgb="00B7791F"/>
      <sz val="12"/>
    </font>
    <font>
      <name val="Calibri"/>
      <b val="1"/>
      <color rgb="000A6E5A"/>
      <sz val="10"/>
    </font>
    <font>
      <name val="Calibri"/>
      <b val="1"/>
      <color rgb="00FFFFFF"/>
      <sz val="9.5"/>
    </font>
    <font>
      <name val="Calibri"/>
      <b val="1"/>
      <color rgb="001F2A28"/>
      <sz val="10"/>
    </font>
    <font>
      <name val="Calibri"/>
      <b val="1"/>
      <color rgb="00FFFFFF"/>
      <sz val="11"/>
    </font>
    <font>
      <name val="Calibri"/>
      <b val="1"/>
      <color rgb="00015846"/>
      <sz val="10"/>
    </font>
  </fonts>
  <fills count="1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00015846"/>
      </patternFill>
    </fill>
    <fill>
      <patternFill patternType="solid">
        <fgColor rgb="0000C7B1"/>
      </patternFill>
    </fill>
    <fill>
      <patternFill patternType="solid">
        <fgColor rgb="000A6E5A"/>
      </patternFill>
    </fill>
  </fills>
  <borders count="2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9" tint="0.3999755851924192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double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4" tint="0.3999755851924192"/>
      </left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2">
    <xf numFmtId="0" fontId="0" fillId="0" borderId="0"/>
    <xf numFmtId="0" fontId="4" fillId="0" borderId="0"/>
  </cellStyleXfs>
  <cellXfs count="92">
    <xf numFmtId="0" fontId="0" fillId="0" borderId="0" pivotButton="0" quotePrefix="0" xfId="0"/>
    <xf numFmtId="0" fontId="0" fillId="0" borderId="2" applyAlignment="1" applyProtection="1" pivotButton="0" quotePrefix="0" xfId="0">
      <alignment horizontal="center" vertical="center" wrapText="1"/>
      <protection locked="0" hidden="0"/>
    </xf>
    <xf numFmtId="2" fontId="0" fillId="0" borderId="2" applyAlignment="1" applyProtection="1" pivotButton="0" quotePrefix="0" xfId="0">
      <alignment horizontal="center" vertical="center" wrapText="1"/>
      <protection locked="0" hidden="0"/>
    </xf>
    <xf numFmtId="2" fontId="0" fillId="0" borderId="1" applyAlignment="1" applyProtection="1" pivotButton="0" quotePrefix="0" xfId="0">
      <alignment horizontal="center" vertical="center" wrapText="1"/>
      <protection locked="0" hidden="0"/>
    </xf>
    <xf numFmtId="0" fontId="0" fillId="0" borderId="1" applyAlignment="1" applyProtection="1" pivotButton="0" quotePrefix="0" xfId="0">
      <alignment horizontal="center" vertical="center" wrapText="1"/>
      <protection locked="0" hidden="0"/>
    </xf>
    <xf numFmtId="2" fontId="0" fillId="0" borderId="7" applyAlignment="1" applyProtection="1" pivotButton="0" quotePrefix="0" xfId="0">
      <alignment horizontal="center" vertical="center" wrapText="1"/>
      <protection locked="0" hidden="0"/>
    </xf>
    <xf numFmtId="2" fontId="0" fillId="0" borderId="9" applyAlignment="1" applyProtection="1" pivotButton="0" quotePrefix="0" xfId="0">
      <alignment horizontal="center" vertical="center" wrapText="1"/>
      <protection locked="0" hidden="0"/>
    </xf>
    <xf numFmtId="2" fontId="0" fillId="2" borderId="10" applyAlignment="1" applyProtection="1" pivotButton="0" quotePrefix="0" xfId="0">
      <alignment horizontal="left" vertical="center"/>
      <protection locked="0" hidden="0"/>
    </xf>
    <xf numFmtId="0" fontId="0" fillId="2" borderId="10" applyAlignment="1" applyProtection="1" pivotButton="0" quotePrefix="0" xfId="0">
      <alignment horizontal="left" vertical="center"/>
      <protection locked="0" hidden="0"/>
    </xf>
    <xf numFmtId="164" fontId="0" fillId="2" borderId="10" applyAlignment="1" applyProtection="1" pivotButton="0" quotePrefix="0" xfId="0">
      <alignment horizontal="center" vertical="center"/>
      <protection locked="0" hidden="0"/>
    </xf>
    <xf numFmtId="0" fontId="1" fillId="0" borderId="2" applyAlignment="1" applyProtection="1" pivotButton="0" quotePrefix="0" xfId="0">
      <alignment horizontal="center" vertical="center" wrapText="1"/>
      <protection locked="0" hidden="0"/>
    </xf>
    <xf numFmtId="0" fontId="1" fillId="0" borderId="1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left" vertical="top" wrapText="1"/>
      <protection locked="0" hidden="0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 wrapText="1"/>
    </xf>
    <xf numFmtId="2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 wrapText="1"/>
    </xf>
    <xf numFmtId="2" fontId="0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2" fontId="0" fillId="0" borderId="5" applyAlignment="1" pivotButton="0" quotePrefix="0" xfId="0">
      <alignment horizontal="center" vertical="center"/>
    </xf>
    <xf numFmtId="2" fontId="0" fillId="0" borderId="6" pivotButton="0" quotePrefix="0" xfId="0"/>
    <xf numFmtId="2" fontId="0" fillId="0" borderId="8" applyAlignment="1" pivotButton="0" quotePrefix="0" xfId="0">
      <alignment horizontal="center" vertical="center"/>
    </xf>
    <xf numFmtId="2" fontId="0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 wrapText="1"/>
    </xf>
    <xf numFmtId="2" fontId="1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2" fontId="0" fillId="0" borderId="6" applyAlignment="1" pivotButton="0" quotePrefix="0" xfId="0">
      <alignment horizontal="center" vertical="center" wrapText="1"/>
    </xf>
    <xf numFmtId="0" fontId="0" fillId="0" borderId="11" applyAlignment="1" pivotButton="0" quotePrefix="0" xfId="0">
      <alignment vertical="center"/>
    </xf>
    <xf numFmtId="0" fontId="0" fillId="0" borderId="12" applyAlignment="1" pivotButton="0" quotePrefix="0" xfId="0">
      <alignment vertical="center" wrapText="1"/>
    </xf>
    <xf numFmtId="0" fontId="0" fillId="0" borderId="12" applyAlignment="1" pivotButton="0" quotePrefix="0" xfId="0">
      <alignment horizontal="center" vertical="center" wrapText="1"/>
    </xf>
    <xf numFmtId="2" fontId="0" fillId="0" borderId="0" pivotButton="0" quotePrefix="0" xfId="0"/>
    <xf numFmtId="2" fontId="1" fillId="0" borderId="0" applyAlignment="1" pivotButton="0" quotePrefix="0" xfId="0">
      <alignment vertical="center"/>
    </xf>
    <xf numFmtId="2" fontId="0" fillId="0" borderId="9" applyAlignment="1" pivotButton="0" quotePrefix="0" xfId="0">
      <alignment horizontal="center" vertical="center" wrapText="1"/>
    </xf>
    <xf numFmtId="0" fontId="5" fillId="5" borderId="4" applyAlignment="1" pivotButton="0" quotePrefix="0" xfId="0">
      <alignment vertical="center" wrapText="1"/>
    </xf>
    <xf numFmtId="0" fontId="0" fillId="6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center" wrapText="1"/>
    </xf>
    <xf numFmtId="0" fontId="0" fillId="3" borderId="0" applyAlignment="1" pivotButton="0" quotePrefix="0" xfId="0">
      <alignment horizontal="center" vertical="center" wrapText="1"/>
    </xf>
    <xf numFmtId="2" fontId="0" fillId="3" borderId="6" applyAlignment="1" pivotButton="0" quotePrefix="0" xfId="0">
      <alignment horizontal="center" vertical="center" wrapText="1"/>
    </xf>
    <xf numFmtId="0" fontId="1" fillId="0" borderId="2" applyAlignment="1" pivotButton="0" quotePrefix="0" xfId="0">
      <alignment horizontal="center" vertical="center" wrapText="1"/>
    </xf>
    <xf numFmtId="0" fontId="1" fillId="0" borderId="13" applyAlignment="1" pivotButton="0" quotePrefix="0" xfId="0">
      <alignment horizontal="center" vertical="center" wrapText="1"/>
    </xf>
    <xf numFmtId="2" fontId="1" fillId="0" borderId="15" applyAlignment="1" pivotButton="0" quotePrefix="0" xfId="0">
      <alignment horizontal="center" vertical="center" wrapText="1"/>
    </xf>
    <xf numFmtId="15" fontId="0" fillId="0" borderId="0" applyAlignment="1" pivotButton="0" quotePrefix="0" xfId="0">
      <alignment horizontal="left" vertical="center"/>
    </xf>
    <xf numFmtId="0" fontId="0" fillId="0" borderId="11" applyAlignment="1" pivotButton="0" quotePrefix="0" xfId="0">
      <alignment vertical="center" wrapText="1"/>
    </xf>
    <xf numFmtId="2" fontId="0" fillId="2" borderId="10" applyAlignment="1" applyProtection="1" pivotButton="0" quotePrefix="0" xfId="0">
      <alignment horizontal="left" vertical="center" wrapText="1"/>
      <protection locked="0" hidden="0"/>
    </xf>
    <xf numFmtId="0" fontId="0" fillId="0" borderId="0" applyAlignment="1" pivotButton="0" quotePrefix="0" xfId="0">
      <alignment horizontal="left" vertical="center" wrapText="1"/>
    </xf>
    <xf numFmtId="0" fontId="0" fillId="2" borderId="10" applyAlignment="1" applyProtection="1" pivotButton="0" quotePrefix="0" xfId="0">
      <alignment horizontal="left" vertical="center" wrapText="1"/>
      <protection locked="0" hidden="0"/>
    </xf>
    <xf numFmtId="0" fontId="0" fillId="4" borderId="0" applyAlignment="1" pivotButton="0" quotePrefix="0" xfId="0">
      <alignment horizontal="left" vertical="center"/>
    </xf>
    <xf numFmtId="0" fontId="0" fillId="4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 wrapText="1"/>
    </xf>
    <xf numFmtId="0" fontId="0" fillId="4" borderId="0" applyAlignment="1" pivotButton="0" quotePrefix="0" xfId="0">
      <alignment horizontal="left" vertical="center" wrapText="1"/>
    </xf>
    <xf numFmtId="0" fontId="1" fillId="4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2" fontId="0" fillId="4" borderId="0" pivotButton="0" quotePrefix="0" xfId="0"/>
    <xf numFmtId="0" fontId="0" fillId="4" borderId="0" applyAlignment="1" pivotButton="0" quotePrefix="0" xfId="0">
      <alignment horizontal="left" vertical="top" wrapText="1"/>
    </xf>
    <xf numFmtId="0" fontId="0" fillId="0" borderId="12" applyAlignment="1" pivotButton="0" quotePrefix="0" xfId="0">
      <alignment vertical="center"/>
    </xf>
    <xf numFmtId="0" fontId="0" fillId="3" borderId="0" applyAlignment="1" pivotButton="0" quotePrefix="0" xfId="0">
      <alignment horizontal="left" vertical="top" wrapText="1"/>
    </xf>
    <xf numFmtId="0" fontId="6" fillId="0" borderId="2" applyAlignment="1" applyProtection="1" pivotButton="0" quotePrefix="0" xfId="0">
      <alignment horizontal="center" vertical="center" wrapText="1"/>
      <protection locked="0" hidden="0"/>
    </xf>
    <xf numFmtId="0" fontId="7" fillId="0" borderId="2" applyAlignment="1" applyProtection="1" pivotButton="0" quotePrefix="0" xfId="0">
      <alignment horizontal="center" vertical="center" wrapText="1"/>
      <protection locked="0" hidden="0"/>
    </xf>
    <xf numFmtId="0" fontId="1" fillId="7" borderId="13" applyAlignment="1" pivotButton="0" quotePrefix="0" xfId="0">
      <alignment horizontal="center" vertical="center" textRotation="90" wrapText="1"/>
    </xf>
    <xf numFmtId="0" fontId="0" fillId="7" borderId="2" applyAlignment="1" applyProtection="1" pivotButton="0" quotePrefix="0" xfId="0">
      <alignment horizontal="center" vertical="center" wrapText="1"/>
      <protection locked="0" hidden="0"/>
    </xf>
    <xf numFmtId="0" fontId="1" fillId="8" borderId="13" applyAlignment="1" pivotButton="0" quotePrefix="0" xfId="0">
      <alignment horizontal="center" vertical="center" textRotation="90" wrapText="1"/>
    </xf>
    <xf numFmtId="0" fontId="0" fillId="8" borderId="2" applyAlignment="1" applyProtection="1" pivotButton="0" quotePrefix="0" xfId="0">
      <alignment horizontal="center" vertical="center" wrapText="1"/>
      <protection locked="0" hidden="0"/>
    </xf>
    <xf numFmtId="0" fontId="0" fillId="8" borderId="1" applyAlignment="1" applyProtection="1" pivotButton="0" quotePrefix="0" xfId="0">
      <alignment horizontal="center" vertical="center" wrapText="1"/>
      <protection locked="0" hidden="0"/>
    </xf>
    <xf numFmtId="0" fontId="1" fillId="9" borderId="14" applyAlignment="1" pivotButton="0" quotePrefix="0" xfId="0">
      <alignment horizontal="center" vertical="center" textRotation="90" wrapText="1"/>
    </xf>
    <xf numFmtId="0" fontId="0" fillId="9" borderId="1" applyAlignment="1" applyProtection="1" pivotButton="0" quotePrefix="0" xfId="0">
      <alignment horizontal="center" vertical="center" wrapText="1"/>
      <protection locked="0" hidden="0"/>
    </xf>
    <xf numFmtId="0" fontId="5" fillId="10" borderId="16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 wrapText="1"/>
    </xf>
    <xf numFmtId="14" fontId="0" fillId="0" borderId="0" applyAlignment="1" pivotButton="0" quotePrefix="0" xfId="0">
      <alignment horizontal="left" vertical="center"/>
    </xf>
    <xf numFmtId="0" fontId="1" fillId="0" borderId="2" applyAlignment="1" applyProtection="1" pivotButton="0" quotePrefix="0" xfId="0">
      <alignment horizontal="left" vertical="top" wrapText="1"/>
      <protection locked="0" hidden="0"/>
    </xf>
    <xf numFmtId="0" fontId="1" fillId="0" borderId="7" applyAlignment="1" applyProtection="1" pivotButton="0" quotePrefix="0" xfId="0">
      <alignment horizontal="left" vertical="top" wrapText="1"/>
      <protection locked="0" hidden="0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center" vertical="center" wrapText="1"/>
    </xf>
    <xf numFmtId="0" fontId="13" fillId="0" borderId="11" applyAlignment="1" pivotButton="0" quotePrefix="0" xfId="0">
      <alignment vertical="center"/>
    </xf>
    <xf numFmtId="0" fontId="13" fillId="0" borderId="11" applyAlignment="1" pivotButton="0" quotePrefix="0" xfId="0">
      <alignment vertical="center" wrapText="1"/>
    </xf>
    <xf numFmtId="0" fontId="14" fillId="11" borderId="21" applyAlignment="1" pivotButton="0" quotePrefix="0" xfId="0">
      <alignment horizontal="center" vertical="center" wrapText="1"/>
    </xf>
    <xf numFmtId="2" fontId="14" fillId="11" borderId="21" applyAlignment="1" pivotButton="0" quotePrefix="0" xfId="0">
      <alignment horizontal="center" vertical="center" wrapText="1"/>
    </xf>
    <xf numFmtId="2" fontId="15" fillId="12" borderId="5" applyAlignment="1" pivotButton="0" quotePrefix="0" xfId="0">
      <alignment horizontal="center" vertical="center"/>
    </xf>
    <xf numFmtId="2" fontId="15" fillId="12" borderId="8" applyAlignment="1" pivotButton="0" quotePrefix="0" xfId="0">
      <alignment horizontal="center" vertical="center"/>
    </xf>
    <xf numFmtId="0" fontId="16" fillId="13" borderId="1" applyAlignment="1" applyProtection="1" pivotButton="0" quotePrefix="0" xfId="0">
      <alignment horizontal="left" vertical="center" indent="1"/>
      <protection locked="0" hidden="0"/>
    </xf>
    <xf numFmtId="0" fontId="17" fillId="0" borderId="2" applyAlignment="1" applyProtection="1" pivotButton="0" quotePrefix="0" xfId="0">
      <alignment horizontal="center" vertical="center" wrapText="1"/>
      <protection locked="0" hidden="0"/>
    </xf>
    <xf numFmtId="0" fontId="0" fillId="0" borderId="19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</cellXfs>
  <cellStyles count="2">
    <cellStyle name="Normal" xfId="0" builtinId="0"/>
    <cellStyle name="Normal 3" xfId="1"/>
  </cellStyles>
  <dxfs count="67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ill>
        <patternFill patternType="solid">
          <fgColor theme="9" tint="0.7999816888943144"/>
          <bgColor theme="9" tint="0.7999816888943144"/>
        </patternFill>
      </fill>
      <alignment horizontal="general" vertical="center" wrapText="1"/>
      <border>
        <left/>
        <right/>
        <top style="thin">
          <color theme="9" tint="0.3999755851924192"/>
        </top>
        <bottom style="thin">
          <color theme="9" tint="0.3999755851924192"/>
        </bottom>
      </border>
    </dxf>
    <dxf>
      <border outline="0">
        <top style="thin">
          <color theme="9" tint="0.3999755851924192"/>
        </top>
      </border>
    </dxf>
    <dxf>
      <border outline="0">
        <right style="thin">
          <color theme="9" tint="0.3999755851924192"/>
        </right>
        <top style="thin">
          <color theme="9" tint="0.3999755851924192"/>
        </top>
        <bottom style="thin">
          <color theme="9" tint="0.3999755851924192"/>
        </bottom>
      </border>
    </dxf>
    <dxf>
      <fill>
        <patternFill patternType="solid">
          <fgColor theme="9" tint="0.7999816888943144"/>
          <bgColor theme="9" tint="0.7999816888943144"/>
        </patternFill>
      </fill>
      <alignment horizontal="general" vertical="center" wrapText="1"/>
    </dxf>
    <dxf>
      <border outline="0">
        <bottom style="thin">
          <color theme="9" tint="0.3999755851924192"/>
        </bottom>
      </border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9"/>
          <bgColor theme="9"/>
        </patternFill>
      </fill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externalLink" Target="/xl/externalLinks/externalLink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0</colOff>
      <row>0</row>
      <rowOff>0</rowOff>
    </from>
    <ext cx="1028700" cy="4953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https://sarniawolverine-my.sharepoint.com/personal/djamer_wolverinemfg_ca/Documents/Projects/Suncor/32T-005/Timecards/BM%20-%20Nights.xlsx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Timecard"/>
      <sheetName val="Lookup"/>
      <sheetName val="List"/>
      <sheetName val="BM - Nights"/>
    </sheetNames>
    <sheetDataSet>
      <sheetData sheetId="0" refreshError="1"/>
      <sheetData sheetId="1" refreshError="1"/>
      <sheetData sheetId="2"/>
      <sheetData sheetId="3" refreshError="1"/>
    </sheetDataSet>
  </externalBook>
</externalLink>
</file>

<file path=xl/tables/table1.xml><?xml version="1.0" encoding="utf-8"?>
<table xmlns="http://schemas.openxmlformats.org/spreadsheetml/2006/main" id="1" name="tblHoldUp" displayName="tblHoldUp" ref="S1:S15" headerRowCount="1" totalsRowShown="0" headerRowDxfId="66" dataDxfId="65">
  <autoFilter ref="S1:S15"/>
  <sortState ref="S2:S15">
    <sortCondition ref="S1:S15"/>
  </sortState>
  <tableColumns count="1">
    <tableColumn id="1" name="Hold Up Time Entries" dataDxfId="6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Company" displayName="tblCompany" ref="D1:D46" headerRowCount="1" totalsRowShown="0" headerRowDxfId="63" dataDxfId="62">
  <autoFilter ref="D1:D46"/>
  <sortState ref="D2:D36">
    <sortCondition ref="D1:D36"/>
  </sortState>
  <tableColumns count="1">
    <tableColumn id="1" name="Company" dataDxfId="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Trade" displayName="tblTrade" ref="A1:A67" headerRowCount="1" totalsRowShown="0" headerRowDxfId="60" dataDxfId="59">
  <autoFilter ref="A1:A67"/>
  <tableColumns count="1">
    <tableColumn id="1" name="Timesheet Trades" dataDxfId="5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Employee" displayName="tblEmployee" ref="G1:G478" headerRowCount="1" totalsRowShown="0" headerRowDxfId="57" dataDxfId="55" headerRowBorderDxfId="56" tableBorderDxfId="54" totalsRowBorderDxfId="53">
  <autoFilter ref="G1:G478"/>
  <sortState ref="G2:G139">
    <sortCondition ref="G1:G139"/>
  </sortState>
  <tableColumns count="1">
    <tableColumn id="1" name="Employee Names" dataDxfId="5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Location" displayName="tblLocation" ref="M1:M4" headerRowCount="1" totalsRowShown="0" headerRowDxfId="51" dataDxfId="50">
  <autoFilter ref="M1:M4"/>
  <sortState ref="M2">
    <sortCondition ref="M1:M2"/>
  </sortState>
  <tableColumns count="1">
    <tableColumn id="1" name="Location" dataDxfId="4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Shift" displayName="tblShift" ref="P1:P3" headerRowCount="1" totalsRowShown="0" headerRowDxfId="48" dataDxfId="47">
  <autoFilter ref="P1:P3"/>
  <tableColumns count="1">
    <tableColumn id="1" name="Shift" dataDxfId="46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Equipment" displayName="tblEquipment" ref="J1:J325" headerRowCount="1" totalsRowShown="0" headerRowDxfId="45" dataDxfId="44">
  <autoFilter ref="J1:J325"/>
  <tableColumns count="1">
    <tableColumn id="1" name="Equipment Options" dataDxfId="4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ApprovedOffsite" displayName="tblApprovedOffsite" ref="V1:V15" headerRowCount="1" totalsRowShown="0" headerRowDxfId="42">
  <autoFilter ref="V1:V15"/>
  <sortState ref="V2:V15">
    <sortCondition ref="V1:V15"/>
  </sortState>
  <tableColumns count="1">
    <tableColumn id="1" name="Approved Offsite" dataDxfId="41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ColToNum" displayName="tblColToNum" ref="AF1:AG157" headerRowCount="1" totalsRowShown="0" headerRowDxfId="40" dataDxfId="39">
  <autoFilter ref="AF1:AG157"/>
  <tableColumns count="2">
    <tableColumn id="1" name="Column Letter" dataDxfId="38"/>
    <tableColumn id="2" name="Number" dataDxfId="37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able9" displayName="Table9" ref="Y1:AA23" headerRowCount="1" totalsRowShown="0" headerRowDxfId="36" dataDxfId="35">
  <autoFilter ref="Y1:AA23"/>
  <tableColumns count="3">
    <tableColumn id="1" name="Which Column" dataDxfId="34"/>
    <tableColumn id="2" name="Project ID" dataDxfId="33">
      <calculatedColumnFormula array="1">INDEX(Timesheet!$A$8:$FA$8,1,_xlfn.XLOOKUP(Table9[[#This Row],[Which Column]],tblColToNum[[#All],[Column Letter]],tblColToNum[[#All],[Number]]))</calculatedColumnFormula>
    </tableColumn>
    <tableColumn id="3" name="Check" dataDxfId="32">
      <calculatedColumnFormula>IF(OR(Table9[[#This Row],[Project ID]]="",Table9[[#This Row],[Project ID]]=0),0,1)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imecard_Approved_Offsite" displayName="Timecard_Approved_Offsite" ref="A1:A17" tableType="queryTable" headerRowCount="1" totalsRowShown="0">
  <autoFilter ref="A1:A17"/>
  <tableColumns count="1">
    <tableColumn id="1" uniqueName="1" name="SwipeDeviation" queryTableFieldId="1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id="12" name="Timecard_Hold_Up_Types" displayName="Timecard_Hold_Up_Types" ref="A1:A15" tableType="queryTable" headerRowCount="1" totalsRowShown="0">
  <autoFilter ref="A1:A15"/>
  <tableColumns count="1">
    <tableColumn id="1" uniqueName="1" name="HoldUp" queryTableFieldId="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id="13" name="Timecard_Shift" displayName="Timecard_Shift" ref="A1:A3" tableType="queryTable" headerRowCount="1" totalsRowShown="0">
  <autoFilter ref="A1:A3"/>
  <tableColumns count="1">
    <tableColumn id="1" uniqueName="1" name="Shift" queryTableFieldId="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id="14" name="Timecard_Shop_Locations" displayName="Timecard_Shop_Locations" ref="A1:A4" tableType="queryTable" headerRowCount="1" totalsRowShown="0">
  <autoFilter ref="A1:A4"/>
  <tableColumns count="1">
    <tableColumn id="1" uniqueName="1" name="Location" queryTableFieldId="1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id="15" name="Timecard_Equipment" displayName="Timecard_Equipment" ref="A1:A348" tableType="queryTable" headerRowCount="1" totalsRowShown="0">
  <autoFilter ref="A1:A348"/>
  <tableColumns count="1">
    <tableColumn id="1" uniqueName="1" name="Equipment" queryTableFieldId="1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id="16" name="Timecard_Companies" displayName="Timecard_Companies" ref="A1:A90" tableType="queryTable" headerRowCount="1" totalsRowShown="0">
  <autoFilter ref="A1:A90"/>
  <tableColumns count="1">
    <tableColumn id="1" uniqueName="1" name="Companies" queryTableFieldId="1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id="17" name="Timecard_Employee_Names" displayName="Timecard_Employee_Names" ref="A1:A546" tableType="queryTable" headerRowCount="1" totalsRowShown="0">
  <autoFilter ref="A1:A546"/>
  <tableColumns count="1">
    <tableColumn id="1" uniqueName="1" name="Employees" queryTableFieldId="1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id="18" name="Timecard_Trades" displayName="Timecard_Trades" ref="A1:A89" tableType="queryTable" headerRowCount="1" totalsRowShown="0">
  <autoFilter ref="A1:A89"/>
  <tableColumns count="1">
    <tableColumn id="1" uniqueName="1" name="Trades" queryTableField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Relationship Type="http://schemas.openxmlformats.org/officeDocument/2006/relationships/table" Target="/xl/tables/table6.xml" Id="rId6" /><Relationship Type="http://schemas.openxmlformats.org/officeDocument/2006/relationships/table" Target="/xl/tables/table7.xml" Id="rId7" /><Relationship Type="http://schemas.openxmlformats.org/officeDocument/2006/relationships/table" Target="/xl/tables/table8.xml" Id="rId8" /><Relationship Type="http://schemas.openxmlformats.org/officeDocument/2006/relationships/table" Target="/xl/tables/table9.xml" Id="rId9" /><Relationship Type="http://schemas.openxmlformats.org/officeDocument/2006/relationships/table" Target="/xl/tables/table10.xml" Id="rId10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478"/>
  <sheetViews>
    <sheetView zoomScale="80" zoomScaleNormal="80" workbookViewId="0">
      <selection activeCell="AA2" sqref="AA2"/>
    </sheetView>
  </sheetViews>
  <sheetFormatPr baseColWidth="8" defaultColWidth="8.88671875" defaultRowHeight="14.4"/>
  <cols>
    <col width="13.109375" customWidth="1" style="15" min="1" max="1"/>
    <col width="5.6640625" customWidth="1" style="15" min="2" max="3"/>
    <col width="16.109375" customWidth="1" style="15" min="4" max="4"/>
    <col width="6.6640625" customWidth="1" style="15" min="5" max="6"/>
    <col width="17.6640625" customWidth="1" style="15" min="7" max="7"/>
    <col width="4.6640625" customWidth="1" style="15" min="8" max="9"/>
    <col width="30.33203125" customWidth="1" style="15" min="10" max="10"/>
    <col width="4" customWidth="1" style="15" min="11" max="12"/>
    <col width="21" customWidth="1" style="15" min="13" max="13"/>
    <col width="4.109375" customWidth="1" style="15" min="14" max="15"/>
    <col width="8.88671875" customWidth="1" style="15" min="16" max="16"/>
    <col width="2.88671875" customWidth="1" style="15" min="17" max="18"/>
    <col width="20.109375" customWidth="1" style="15" min="19" max="19"/>
    <col width="5.109375" customWidth="1" style="15" min="20" max="21"/>
    <col width="18.33203125" customWidth="1" style="15" min="22" max="22"/>
    <col width="8.88671875" customWidth="1" style="15" min="23" max="24"/>
    <col width="11.5546875" customWidth="1" style="15" min="25" max="27"/>
    <col width="8.88671875" customWidth="1" style="15" min="28" max="28"/>
    <col width="13.109375" customWidth="1" style="15" min="29" max="29"/>
    <col width="8.88671875" customWidth="1" style="15" min="30" max="31"/>
    <col width="15.5546875" customWidth="1" style="15" min="32" max="32"/>
    <col width="10.44140625" customWidth="1" style="15" min="33" max="33"/>
    <col width="8.88671875" customWidth="1" style="15" min="34" max="16384"/>
  </cols>
  <sheetData>
    <row r="1" ht="28.8" customHeight="1">
      <c r="A1" s="15" t="inlineStr">
        <is>
          <t>Timesheet Trades</t>
        </is>
      </c>
      <c r="D1" s="15" t="inlineStr">
        <is>
          <t>Company</t>
        </is>
      </c>
      <c r="G1" s="40" t="inlineStr">
        <is>
          <t>Employee Names</t>
        </is>
      </c>
      <c r="J1" s="15" t="inlineStr">
        <is>
          <t>Equipment Options</t>
        </is>
      </c>
      <c r="M1" s="15" t="inlineStr">
        <is>
          <t>Location</t>
        </is>
      </c>
      <c r="P1" s="15" t="inlineStr">
        <is>
          <t>Shift</t>
        </is>
      </c>
      <c r="S1" s="15" t="inlineStr">
        <is>
          <t>Hold Up Time Entries</t>
        </is>
      </c>
      <c r="V1" s="15" t="inlineStr">
        <is>
          <t>Approved Offsite</t>
        </is>
      </c>
      <c r="Y1" s="15" t="inlineStr">
        <is>
          <t>Which Column</t>
        </is>
      </c>
      <c r="Z1" s="15" t="inlineStr">
        <is>
          <t>Project ID</t>
        </is>
      </c>
      <c r="AA1" s="15" t="inlineStr">
        <is>
          <t>Check</t>
        </is>
      </c>
      <c r="AC1" s="73" t="inlineStr">
        <is>
          <t>Available Columns</t>
        </is>
      </c>
      <c r="AF1" s="15" t="inlineStr">
        <is>
          <t>Column Letter</t>
        </is>
      </c>
      <c r="AG1" s="15" t="inlineStr">
        <is>
          <t>Number</t>
        </is>
      </c>
    </row>
    <row r="2" ht="28.8" customHeight="1">
      <c r="A2" s="15" t="inlineStr">
        <is>
          <t>3D CAD</t>
        </is>
      </c>
      <c r="D2" s="15" t="inlineStr">
        <is>
          <t>3DS Techno</t>
        </is>
      </c>
      <c r="G2" s="41" t="inlineStr">
        <is>
          <t>Alton, Doug (3625)</t>
        </is>
      </c>
      <c r="J2" s="15" t="inlineStr">
        <is>
          <t>12207000-Harness - Worker's - D</t>
        </is>
      </c>
      <c r="M2" s="15" t="inlineStr">
        <is>
          <t>1 - Shop Floor</t>
        </is>
      </c>
      <c r="P2" s="15" t="inlineStr">
        <is>
          <t>Day</t>
        </is>
      </c>
      <c r="S2" s="15" t="inlineStr">
        <is>
          <t>Approved Offsite / Swipe Deviation</t>
        </is>
      </c>
      <c r="V2" s="15" t="inlineStr">
        <is>
          <t>Call In</t>
        </is>
      </c>
      <c r="Y2" s="15" t="inlineStr">
        <is>
          <t>Q</t>
        </is>
      </c>
      <c r="Z2" s="15">
        <f t="array" ref="Z2">INDEX(Timesheet!$A$8:$FA$8,1,_xlfn.XLOOKUP(Table9[[#This Row],[Which Column]],tblColToNum[[#All],[Column Letter]],tblColToNum[[#All],[Number]]))</f>
        <v/>
      </c>
      <c r="AA2" s="15">
        <f>IF(OR(Table9[[#This Row],[Project ID]]="",Table9[[#This Row],[Project ID]]=0),0,1)</f>
        <v/>
      </c>
      <c r="AC2" s="15">
        <f t="array" ref="AC2:AC4">_xlfn.UNIQUE(_xlfn._xlws.FILTER(Table9[[#All],[Which Column]], Table9[[#All],[Check]]=1))</f>
        <v/>
      </c>
      <c r="AF2" s="15" t="inlineStr">
        <is>
          <t>A</t>
        </is>
      </c>
      <c r="AG2" s="15" t="n">
        <v>1</v>
      </c>
    </row>
    <row r="3" ht="28.8" customHeight="1">
      <c r="A3" s="15" t="inlineStr">
        <is>
          <t>BM - 1</t>
        </is>
      </c>
      <c r="D3" s="15" t="inlineStr">
        <is>
          <t>Ainsworth</t>
        </is>
      </c>
      <c r="G3" s="42" t="inlineStr">
        <is>
          <t>Bailey, Tyler (4380)</t>
        </is>
      </c>
      <c r="J3" s="15" t="inlineStr">
        <is>
          <t>12207001-Harness - Worker's - W</t>
        </is>
      </c>
      <c r="M3" s="15" t="inlineStr">
        <is>
          <t>2 - Office</t>
        </is>
      </c>
      <c r="P3" s="15" t="inlineStr">
        <is>
          <t>Night</t>
        </is>
      </c>
      <c r="S3" s="15" t="inlineStr">
        <is>
          <t>Decision Needed to Proceed</t>
        </is>
      </c>
      <c r="V3" s="15" t="inlineStr">
        <is>
          <t>Remote Onboarding</t>
        </is>
      </c>
      <c r="Y3" s="15" t="inlineStr">
        <is>
          <t>W</t>
        </is>
      </c>
      <c r="Z3" s="15">
        <f t="array" ref="Z3">INDEX(Timesheet!$A$8:$FA$8,1,_xlfn.XLOOKUP(Table9[[#This Row],[Which Column]],tblColToNum[[#All],[Column Letter]],tblColToNum[[#All],[Number]]))</f>
        <v/>
      </c>
      <c r="AA3" s="15">
        <f>IF(OR(Table9[[#This Row],[Project ID]]="",Table9[[#This Row],[Project ID]]=0),0,1)</f>
        <v/>
      </c>
      <c r="AC3" s="15" t="inlineStr">
        <is>
          <t>W</t>
        </is>
      </c>
      <c r="AF3" s="15" t="inlineStr">
        <is>
          <t>B</t>
        </is>
      </c>
      <c r="AG3" s="15" t="n">
        <v>2</v>
      </c>
    </row>
    <row r="4" ht="28.8" customHeight="1">
      <c r="A4" s="15" t="inlineStr">
        <is>
          <t>BM - 2</t>
        </is>
      </c>
      <c r="D4" s="15" t="inlineStr">
        <is>
          <t>Air Produc</t>
        </is>
      </c>
      <c r="G4" s="41" t="inlineStr">
        <is>
          <t>Barrett, Christina (xxx)</t>
        </is>
      </c>
      <c r="J4" s="15" t="inlineStr">
        <is>
          <t>12207002-Harness - Worker's - M</t>
        </is>
      </c>
      <c r="M4" s="15" t="inlineStr">
        <is>
          <t>3 - Field</t>
        </is>
      </c>
      <c r="S4" s="15" t="inlineStr">
        <is>
          <t>Equip Avail, Not Prepped</t>
        </is>
      </c>
      <c r="V4" s="15" t="inlineStr">
        <is>
          <t>Remote Work / Offsite Meeting</t>
        </is>
      </c>
      <c r="Y4" s="15" t="inlineStr">
        <is>
          <t>AC</t>
        </is>
      </c>
      <c r="Z4" s="15">
        <f t="array" ref="Z4">INDEX(Timesheet!$A$8:$FA$8,1,_xlfn.XLOOKUP(Table9[[#This Row],[Which Column]],tblColToNum[[#All],[Column Letter]],tblColToNum[[#All],[Number]]))</f>
        <v/>
      </c>
      <c r="AA4" s="15">
        <f>IF(OR(Table9[[#This Row],[Project ID]]="",Table9[[#This Row],[Project ID]]=0),0,1)</f>
        <v/>
      </c>
      <c r="AC4" s="15" t="inlineStr">
        <is>
          <t>BS</t>
        </is>
      </c>
      <c r="AF4" s="15" t="inlineStr">
        <is>
          <t>C</t>
        </is>
      </c>
      <c r="AG4" s="15" t="n">
        <v>3</v>
      </c>
    </row>
    <row r="5" ht="28.8" customHeight="1">
      <c r="A5" s="15" t="inlineStr">
        <is>
          <t>BM - 3</t>
        </is>
      </c>
      <c r="D5" s="15" t="inlineStr">
        <is>
          <t>Algoma Cen</t>
        </is>
      </c>
      <c r="G5" s="42" t="inlineStr">
        <is>
          <t>Barrett, Ken (6947)</t>
        </is>
      </c>
      <c r="J5" s="15" t="inlineStr">
        <is>
          <t>12207003-Harness - Lanyard 6" Dual Retractable - D</t>
        </is>
      </c>
      <c r="S5" s="15" t="inlineStr">
        <is>
          <t>Equip Not Avail</t>
        </is>
      </c>
      <c r="V5" s="15" t="inlineStr">
        <is>
          <t>Safety - Fit for Duty Checks</t>
        </is>
      </c>
      <c r="Y5" s="15" t="inlineStr">
        <is>
          <t>AI</t>
        </is>
      </c>
      <c r="Z5" s="15">
        <f t="array" ref="Z5">INDEX(Timesheet!$A$8:$FA$8,1,_xlfn.XLOOKUP(Table9[[#This Row],[Which Column]],tblColToNum[[#All],[Column Letter]],tblColToNum[[#All],[Number]]))</f>
        <v/>
      </c>
      <c r="AA5" s="15">
        <f>IF(OR(Table9[[#This Row],[Project ID]]="",Table9[[#This Row],[Project ID]]=0),0,1)</f>
        <v/>
      </c>
      <c r="AF5" s="15" t="inlineStr">
        <is>
          <t>D</t>
        </is>
      </c>
      <c r="AG5" s="15" t="n">
        <v>4</v>
      </c>
    </row>
    <row r="6" ht="28.8" customHeight="1">
      <c r="A6" s="15" t="inlineStr">
        <is>
          <t>BM - 4</t>
        </is>
      </c>
      <c r="D6" s="15" t="inlineStr">
        <is>
          <t>ARLANXEO C</t>
        </is>
      </c>
      <c r="G6" s="41" t="inlineStr">
        <is>
          <t>Beauchamp, Jess (4974)</t>
        </is>
      </c>
      <c r="J6" s="15" t="inlineStr">
        <is>
          <t>12207004-Harness - Lanyard 6" Dual Retractable - W</t>
        </is>
      </c>
      <c r="S6" s="15" t="inlineStr">
        <is>
          <t>Parts/Material Not Avail</t>
        </is>
      </c>
      <c r="V6" s="15" t="inlineStr">
        <is>
          <t>Safety - Offsite Medical Aid</t>
        </is>
      </c>
      <c r="Y6" s="15" t="inlineStr">
        <is>
          <t>AO</t>
        </is>
      </c>
      <c r="Z6" s="15">
        <f t="array" ref="Z6">INDEX(Timesheet!$A$8:$FA$8,1,_xlfn.XLOOKUP(Table9[[#This Row],[Which Column]],tblColToNum[[#All],[Column Letter]],tblColToNum[[#All],[Number]]))</f>
        <v/>
      </c>
      <c r="AA6" s="15">
        <f>IF(OR(Table9[[#This Row],[Project ID]]="",Table9[[#This Row],[Project ID]]=0),0,1)</f>
        <v/>
      </c>
      <c r="AF6" s="15" t="inlineStr">
        <is>
          <t>E</t>
        </is>
      </c>
      <c r="AG6" s="15" t="n">
        <v>5</v>
      </c>
    </row>
    <row r="7" ht="28.8" customHeight="1">
      <c r="A7" s="15" t="inlineStr">
        <is>
          <t>BM - FM</t>
        </is>
      </c>
      <c r="D7" s="15" t="inlineStr">
        <is>
          <t>BWXT</t>
        </is>
      </c>
      <c r="G7" s="42" t="inlineStr">
        <is>
          <t>Bishop, Bryan (6797)</t>
        </is>
      </c>
      <c r="J7" s="15" t="inlineStr">
        <is>
          <t>12207005-Harness - Lanyard 6" Dual Retractable - M</t>
        </is>
      </c>
      <c r="S7" s="15" t="inlineStr">
        <is>
          <t>Permit Delay</t>
        </is>
      </c>
      <c r="V7" s="15" t="inlineStr">
        <is>
          <t>Safety - Providing Offsite Training</t>
        </is>
      </c>
      <c r="Y7" s="15" t="inlineStr">
        <is>
          <t>AU</t>
        </is>
      </c>
      <c r="Z7" s="15">
        <f t="array" ref="Z7">INDEX(Timesheet!$A$8:$FA$8,1,_xlfn.XLOOKUP(Table9[[#This Row],[Which Column]],tblColToNum[[#All],[Column Letter]],tblColToNum[[#All],[Number]]))</f>
        <v/>
      </c>
      <c r="AA7" s="15">
        <f>IF(OR(Table9[[#This Row],[Project ID]]="",Table9[[#This Row],[Project ID]]=0),0,1)</f>
        <v/>
      </c>
      <c r="AF7" s="15" t="inlineStr">
        <is>
          <t>F</t>
        </is>
      </c>
      <c r="AG7" s="15" t="n">
        <v>6</v>
      </c>
    </row>
    <row r="8" ht="28.8" customHeight="1">
      <c r="A8" s="15" t="inlineStr">
        <is>
          <t>BM - GF</t>
        </is>
      </c>
      <c r="D8" s="15" t="inlineStr">
        <is>
          <t>CABOT CORP</t>
        </is>
      </c>
      <c r="G8" s="41" t="inlineStr">
        <is>
          <t>Blancher, John (8991)</t>
        </is>
      </c>
      <c r="J8" s="15" t="inlineStr">
        <is>
          <t>12207006-MSA - 4X Altair Gas Monitor - D</t>
        </is>
      </c>
      <c r="S8" s="15" t="inlineStr">
        <is>
          <t>Prev Op Not Complete</t>
        </is>
      </c>
      <c r="V8" s="15" t="inlineStr">
        <is>
          <t>Shop Fabrication</t>
        </is>
      </c>
      <c r="Y8" s="15" t="inlineStr">
        <is>
          <t>BA</t>
        </is>
      </c>
      <c r="Z8" s="15">
        <f t="array" ref="Z8">INDEX(Timesheet!$A$8:$FA$8,1,_xlfn.XLOOKUP(Table9[[#This Row],[Which Column]],tblColToNum[[#All],[Column Letter]],tblColToNum[[#All],[Number]]))</f>
        <v/>
      </c>
      <c r="AA8" s="15">
        <f>IF(OR(Table9[[#This Row],[Project ID]]="",Table9[[#This Row],[Project ID]]=0),0,1)</f>
        <v/>
      </c>
      <c r="AF8" s="15" t="inlineStr">
        <is>
          <t>G</t>
        </is>
      </c>
      <c r="AG8" s="15" t="n">
        <v>7</v>
      </c>
    </row>
    <row r="9" ht="28.8" customHeight="1">
      <c r="A9" s="15" t="inlineStr">
        <is>
          <t>BM - JM</t>
        </is>
      </c>
      <c r="D9" s="15" t="inlineStr">
        <is>
          <t>CMF Group</t>
        </is>
      </c>
      <c r="G9" s="42" t="inlineStr">
        <is>
          <t>Boire, Robert (5856)</t>
        </is>
      </c>
      <c r="J9" s="15" t="inlineStr">
        <is>
          <t>12207007-MSA - 4X Altair Gas Monitor - W</t>
        </is>
      </c>
      <c r="S9" s="15" t="inlineStr">
        <is>
          <t>Priority Change by Owner</t>
        </is>
      </c>
      <c r="V9" s="15" t="inlineStr">
        <is>
          <t>Shop Visit / Materials Pickup</t>
        </is>
      </c>
      <c r="Y9" s="15" t="inlineStr">
        <is>
          <t>BG</t>
        </is>
      </c>
      <c r="Z9" s="15">
        <f t="array" ref="Z9">INDEX(Timesheet!$A$8:$FA$8,1,_xlfn.XLOOKUP(Table9[[#This Row],[Which Column]],tblColToNum[[#All],[Column Letter]],tblColToNum[[#All],[Number]]))</f>
        <v/>
      </c>
      <c r="AA9" s="15">
        <f>IF(OR(Table9[[#This Row],[Project ID]]="",Table9[[#This Row],[Project ID]]=0),0,1)</f>
        <v/>
      </c>
      <c r="AF9" s="15" t="inlineStr">
        <is>
          <t>H</t>
        </is>
      </c>
      <c r="AG9" s="15" t="n">
        <v>8</v>
      </c>
    </row>
    <row r="10" ht="28.8" customHeight="1">
      <c r="A10" s="15" t="inlineStr">
        <is>
          <t>BM - Welder</t>
        </is>
      </c>
      <c r="D10" s="15" t="inlineStr">
        <is>
          <t>Curran Con</t>
        </is>
      </c>
      <c r="G10" s="41" t="inlineStr">
        <is>
          <t>Bois, Lester (4270)</t>
        </is>
      </c>
      <c r="J10" s="15" t="inlineStr">
        <is>
          <t>12207008-MSA - 4X Altair Gas Monitor - M</t>
        </is>
      </c>
      <c r="S10" s="15" t="inlineStr">
        <is>
          <t>Safety Incident/Plant Evac</t>
        </is>
      </c>
      <c r="V10" s="15" t="inlineStr">
        <is>
          <t>Show Up Time</t>
        </is>
      </c>
      <c r="Y10" s="15" t="inlineStr">
        <is>
          <t>BM</t>
        </is>
      </c>
      <c r="Z10" s="15">
        <f t="array" ref="Z10">INDEX(Timesheet!$A$8:$FA$8,1,_xlfn.XLOOKUP(Table9[[#This Row],[Which Column]],tblColToNum[[#All],[Column Letter]],tblColToNum[[#All],[Number]]))</f>
        <v/>
      </c>
      <c r="AA10" s="15">
        <f>IF(OR(Table9[[#This Row],[Project ID]]="",Table9[[#This Row],[Project ID]]=0),0,1)</f>
        <v/>
      </c>
      <c r="AF10" s="15" t="inlineStr">
        <is>
          <t>I</t>
        </is>
      </c>
      <c r="AG10" s="15" t="n">
        <v>9</v>
      </c>
    </row>
    <row r="11" ht="43.2" customHeight="1">
      <c r="A11" s="15" t="inlineStr">
        <is>
          <t>CARP - 1</t>
        </is>
      </c>
      <c r="D11" s="15" t="inlineStr">
        <is>
          <t>DiCocco Co</t>
        </is>
      </c>
      <c r="G11" s="42" t="inlineStr">
        <is>
          <t>Bongers, Brysen (7496)</t>
        </is>
      </c>
      <c r="J11" s="15" t="inlineStr">
        <is>
          <t>12207009-MSA - GX2 Calibration/Bump Station/Cylinder Holder/Charger - D</t>
        </is>
      </c>
      <c r="S11" s="15" t="inlineStr">
        <is>
          <t>Support Not Avail - Crane</t>
        </is>
      </c>
      <c r="V11" s="15" t="inlineStr">
        <is>
          <t>Swipe Gate Issue / New Hire Card Pickup</t>
        </is>
      </c>
      <c r="Y11" s="15" t="inlineStr">
        <is>
          <t>BS</t>
        </is>
      </c>
      <c r="Z11" s="15">
        <f t="array" ref="Z11">INDEX(Timesheet!$A$8:$FA$8,1,_xlfn.XLOOKUP(Table9[[#This Row],[Which Column]],tblColToNum[[#All],[Column Letter]],tblColToNum[[#All],[Number]]))</f>
        <v/>
      </c>
      <c r="AA11" s="15">
        <f>IF(OR(Table9[[#This Row],[Project ID]]="",Table9[[#This Row],[Project ID]]=0),0,1)</f>
        <v/>
      </c>
      <c r="AF11" s="15" t="inlineStr">
        <is>
          <t>J</t>
        </is>
      </c>
      <c r="AG11" s="15" t="n">
        <v>10</v>
      </c>
    </row>
    <row r="12" ht="43.2" customHeight="1">
      <c r="A12" s="15" t="inlineStr">
        <is>
          <t>CARP - 2</t>
        </is>
      </c>
      <c r="D12" s="15" t="inlineStr">
        <is>
          <t>Dixin Customer</t>
        </is>
      </c>
      <c r="G12" s="41" t="inlineStr">
        <is>
          <t>Brady, Gregory (1509)</t>
        </is>
      </c>
      <c r="J12" s="15" t="inlineStr">
        <is>
          <t>12207010-MSA - GX2 Calibration/Bump Station/Cylinder Holder/Charger - W</t>
        </is>
      </c>
      <c r="S12" s="15" t="inlineStr">
        <is>
          <t>Support Not Avail - Other</t>
        </is>
      </c>
      <c r="V12" s="15" t="inlineStr">
        <is>
          <t>Weld Test</t>
        </is>
      </c>
      <c r="Y12" s="15" t="inlineStr">
        <is>
          <t>BY</t>
        </is>
      </c>
      <c r="Z12" s="15">
        <f t="array" ref="Z12">INDEX(Timesheet!$A$8:$FA$8,1,_xlfn.XLOOKUP(Table9[[#This Row],[Which Column]],tblColToNum[[#All],[Column Letter]],tblColToNum[[#All],[Number]]))</f>
        <v/>
      </c>
      <c r="AA12" s="15">
        <f>IF(OR(Table9[[#This Row],[Project ID]]="",Table9[[#This Row],[Project ID]]=0),0,1)</f>
        <v/>
      </c>
      <c r="AF12" s="15" t="inlineStr">
        <is>
          <t>K</t>
        </is>
      </c>
      <c r="AG12" s="15" t="n">
        <v>11</v>
      </c>
    </row>
    <row r="13" ht="43.2" customHeight="1">
      <c r="A13" s="15" t="inlineStr">
        <is>
          <t>CARP - 3</t>
        </is>
      </c>
      <c r="D13" s="15" t="inlineStr">
        <is>
          <t>Dow Chemic</t>
        </is>
      </c>
      <c r="G13" s="42" t="inlineStr">
        <is>
          <t>Braithwaite, Dawn (7064)</t>
        </is>
      </c>
      <c r="J13" s="15" t="inlineStr">
        <is>
          <t>12207011-MSA - GX2 Calibration/Bump Station/Cylinder Holder/Charger - M</t>
        </is>
      </c>
      <c r="S13" s="15" t="inlineStr">
        <is>
          <t>Support Not Avail - Scaffold</t>
        </is>
      </c>
      <c r="V13" s="15" t="inlineStr">
        <is>
          <t>Wolverine Office - 3D</t>
        </is>
      </c>
      <c r="Y13" s="15" t="inlineStr">
        <is>
          <t>CE</t>
        </is>
      </c>
      <c r="Z13" s="15">
        <f t="array" ref="Z13">INDEX(Timesheet!$A$8:$FA$8,1,_xlfn.XLOOKUP(Table9[[#This Row],[Which Column]],tblColToNum[[#All],[Column Letter]],tblColToNum[[#All],[Number]]))</f>
        <v/>
      </c>
      <c r="AA13" s="15">
        <f>IF(OR(Table9[[#This Row],[Project ID]]="",Table9[[#This Row],[Project ID]]=0),0,1)</f>
        <v/>
      </c>
      <c r="AF13" s="15" t="inlineStr">
        <is>
          <t>L</t>
        </is>
      </c>
      <c r="AG13" s="15" t="n">
        <v>12</v>
      </c>
    </row>
    <row r="14" ht="28.8" customHeight="1">
      <c r="A14" s="15" t="inlineStr">
        <is>
          <t>CARP - 4</t>
        </is>
      </c>
      <c r="D14" s="15" t="inlineStr">
        <is>
          <t>Eastern Power</t>
        </is>
      </c>
      <c r="G14" s="41" t="inlineStr">
        <is>
          <t>Brooks, Marc-Andre (6527)</t>
        </is>
      </c>
      <c r="J14" s="15" t="inlineStr">
        <is>
          <t>12260001-Porta Pump - Up to 460 Cu In - W</t>
        </is>
      </c>
      <c r="S14" s="15" t="inlineStr">
        <is>
          <t>Travel Disruption</t>
        </is>
      </c>
      <c r="V14" s="15" t="inlineStr">
        <is>
          <t>Wolverine Office - Procurement</t>
        </is>
      </c>
      <c r="Y14" s="15" t="inlineStr">
        <is>
          <t>CK</t>
        </is>
      </c>
      <c r="Z14" s="15">
        <f t="array" ref="Z14">INDEX(Timesheet!$A$8:$FA$8,1,_xlfn.XLOOKUP(Table9[[#This Row],[Which Column]],tblColToNum[[#All],[Column Letter]],tblColToNum[[#All],[Number]]))</f>
        <v/>
      </c>
      <c r="AA14" s="15">
        <f>IF(OR(Table9[[#This Row],[Project ID]]="",Table9[[#This Row],[Project ID]]=0),0,1)</f>
        <v/>
      </c>
      <c r="AF14" s="15" t="inlineStr">
        <is>
          <t>M</t>
        </is>
      </c>
      <c r="AG14" s="15" t="n">
        <v>13</v>
      </c>
    </row>
    <row r="15" ht="28.8" customHeight="1">
      <c r="A15" s="15" t="inlineStr">
        <is>
          <t>CARP - 5</t>
        </is>
      </c>
      <c r="D15" s="15" t="inlineStr">
        <is>
          <t>EcoLab</t>
        </is>
      </c>
      <c r="G15" s="42" t="inlineStr">
        <is>
          <t>Brundage, Eric (7490)</t>
        </is>
      </c>
      <c r="J15" s="15" t="inlineStr">
        <is>
          <t>12260002-Porta Pump - Ram Duck Bill - W</t>
        </is>
      </c>
      <c r="S15" s="15" t="inlineStr">
        <is>
          <t>Weather</t>
        </is>
      </c>
      <c r="V15" s="15" t="inlineStr">
        <is>
          <t>Work Through Break</t>
        </is>
      </c>
      <c r="Y15" s="15" t="inlineStr">
        <is>
          <t>CQ</t>
        </is>
      </c>
      <c r="Z15" s="15">
        <f t="array" ref="Z15">INDEX(Timesheet!$A$8:$FA$8,1,_xlfn.XLOOKUP(Table9[[#This Row],[Which Column]],tblColToNum[[#All],[Column Letter]],tblColToNum[[#All],[Number]]))</f>
        <v/>
      </c>
      <c r="AA15" s="15">
        <f>IF(OR(Table9[[#This Row],[Project ID]]="",Table9[[#This Row],[Project ID]]=0),0,1)</f>
        <v/>
      </c>
      <c r="AF15" s="15" t="inlineStr">
        <is>
          <t>N</t>
        </is>
      </c>
      <c r="AG15" s="15" t="n">
        <v>14</v>
      </c>
    </row>
    <row r="16" ht="28.8" customHeight="1">
      <c r="A16" s="15" t="inlineStr">
        <is>
          <t>CARP - 6</t>
        </is>
      </c>
      <c r="D16" s="15" t="inlineStr">
        <is>
          <t>Enbridge G</t>
        </is>
      </c>
      <c r="G16" s="41" t="inlineStr">
        <is>
          <t>Bueckert, Andrew (2754)</t>
        </is>
      </c>
      <c r="J16" s="15" t="inlineStr">
        <is>
          <t>12260003-Porta Pump - Ram 20-30 Ton - W</t>
        </is>
      </c>
      <c r="Y16" s="15" t="inlineStr">
        <is>
          <t>CW</t>
        </is>
      </c>
      <c r="Z16" s="15">
        <f t="array" ref="Z16">INDEX(Timesheet!$A$8:$FA$8,1,_xlfn.XLOOKUP(Table9[[#This Row],[Which Column]],tblColToNum[[#All],[Column Letter]],tblColToNum[[#All],[Number]]))</f>
        <v/>
      </c>
      <c r="AA16" s="15">
        <f>IF(OR(Table9[[#This Row],[Project ID]]="",Table9[[#This Row],[Project ID]]=0),0,1)</f>
        <v/>
      </c>
      <c r="AF16" s="15" t="inlineStr">
        <is>
          <t>O</t>
        </is>
      </c>
      <c r="AG16" s="15" t="n">
        <v>15</v>
      </c>
    </row>
    <row r="17" ht="28.8" customHeight="1">
      <c r="A17" s="15" t="inlineStr">
        <is>
          <t>CARP - FM</t>
        </is>
      </c>
      <c r="D17" s="15" t="inlineStr">
        <is>
          <t>GOODFELLOW</t>
        </is>
      </c>
      <c r="G17" s="42" t="inlineStr">
        <is>
          <t>Burkholder, Julie (7084)</t>
        </is>
      </c>
      <c r="J17" s="15" t="inlineStr">
        <is>
          <t>12260005-Blast Resistant Trailer - 12'x40' - W</t>
        </is>
      </c>
      <c r="Y17" s="15" t="inlineStr">
        <is>
          <t>DC</t>
        </is>
      </c>
      <c r="Z17" s="15">
        <f t="array" ref="Z17">INDEX(Timesheet!$A$8:$FA$8,1,_xlfn.XLOOKUP(Table9[[#This Row],[Which Column]],tblColToNum[[#All],[Column Letter]],tblColToNum[[#All],[Number]]))</f>
        <v/>
      </c>
      <c r="AA17" s="15">
        <f>IF(OR(Table9[[#This Row],[Project ID]]="",Table9[[#This Row],[Project ID]]=0),0,1)</f>
        <v/>
      </c>
      <c r="AF17" s="15" t="inlineStr">
        <is>
          <t>P</t>
        </is>
      </c>
      <c r="AG17" s="15" t="n">
        <v>16</v>
      </c>
    </row>
    <row r="18" ht="28.8" customHeight="1">
      <c r="A18" s="15" t="inlineStr">
        <is>
          <t>CARP - GF</t>
        </is>
      </c>
      <c r="D18" s="15" t="inlineStr">
        <is>
          <t>Graham</t>
        </is>
      </c>
      <c r="G18" s="41" t="inlineStr">
        <is>
          <t>Burwell, Jonathon (6551)</t>
        </is>
      </c>
      <c r="J18" s="15" t="inlineStr">
        <is>
          <t>12260006-Blast Resistant Trailer - 12'x40' - M</t>
        </is>
      </c>
      <c r="Y18" s="15" t="inlineStr">
        <is>
          <t>DI</t>
        </is>
      </c>
      <c r="Z18" s="15">
        <f t="array" ref="Z18">INDEX(Timesheet!$A$8:$FA$8,1,_xlfn.XLOOKUP(Table9[[#This Row],[Which Column]],tblColToNum[[#All],[Column Letter]],tblColToNum[[#All],[Number]]))</f>
        <v/>
      </c>
      <c r="AA18" s="15">
        <f>IF(OR(Table9[[#This Row],[Project ID]]="",Table9[[#This Row],[Project ID]]=0),0,1)</f>
        <v/>
      </c>
      <c r="AF18" s="15" t="inlineStr">
        <is>
          <t>Q</t>
        </is>
      </c>
      <c r="AG18" s="15" t="n">
        <v>17</v>
      </c>
    </row>
    <row r="19" ht="28.8" customHeight="1">
      <c r="A19" s="15" t="inlineStr">
        <is>
          <t>CARP - JM</t>
        </is>
      </c>
      <c r="D19" s="15" t="inlineStr">
        <is>
          <t>Greenfield</t>
        </is>
      </c>
      <c r="G19" s="42" t="inlineStr">
        <is>
          <t>Butler, Aaron (5667)</t>
        </is>
      </c>
      <c r="J19" s="15" t="inlineStr">
        <is>
          <t>12260007-Coverall Trailer - 8' x 20' With Stairs - W</t>
        </is>
      </c>
      <c r="Y19" s="15" t="inlineStr">
        <is>
          <t>DO</t>
        </is>
      </c>
      <c r="Z19" s="15">
        <f t="array" ref="Z19">INDEX(Timesheet!$A$8:$FA$8,1,_xlfn.XLOOKUP(Table9[[#This Row],[Which Column]],tblColToNum[[#All],[Column Letter]],tblColToNum[[#All],[Number]]))</f>
        <v/>
      </c>
      <c r="AA19" s="15">
        <f>IF(OR(Table9[[#This Row],[Project ID]]="",Table9[[#This Row],[Project ID]]=0),0,1)</f>
        <v/>
      </c>
      <c r="AF19" s="15" t="inlineStr">
        <is>
          <t>R</t>
        </is>
      </c>
      <c r="AG19" s="15" t="n">
        <v>18</v>
      </c>
    </row>
    <row r="20" ht="28.8" customHeight="1">
      <c r="A20" s="15" t="inlineStr">
        <is>
          <t>Const Coord</t>
        </is>
      </c>
      <c r="D20" s="15" t="inlineStr">
        <is>
          <t>GREENFIELD GLOBAL</t>
        </is>
      </c>
      <c r="G20" s="41" t="inlineStr">
        <is>
          <t>Camillo, Joshua (9216)</t>
        </is>
      </c>
      <c r="J20" s="15" t="inlineStr">
        <is>
          <t>12260008-Coverall Trailer - 8' x 20' With Stairs - M</t>
        </is>
      </c>
      <c r="Y20" s="15" t="inlineStr">
        <is>
          <t>DU</t>
        </is>
      </c>
      <c r="Z20" s="15">
        <f t="array" ref="Z20">INDEX(Timesheet!$A$8:$FA$8,1,_xlfn.XLOOKUP(Table9[[#This Row],[Which Column]],tblColToNum[[#All],[Column Letter]],tblColToNum[[#All],[Number]]))</f>
        <v/>
      </c>
      <c r="AA20" s="15">
        <f>IF(OR(Table9[[#This Row],[Project ID]]="",Table9[[#This Row],[Project ID]]=0),0,1)</f>
        <v/>
      </c>
      <c r="AF20" s="15" t="inlineStr">
        <is>
          <t>S</t>
        </is>
      </c>
      <c r="AG20" s="15" t="n">
        <v>19</v>
      </c>
    </row>
    <row r="21" ht="28.8" customHeight="1">
      <c r="A21" s="15" t="inlineStr">
        <is>
          <t>EHS - Advisor</t>
        </is>
      </c>
      <c r="D21" s="15" t="inlineStr">
        <is>
          <t>H. C. Star</t>
        </is>
      </c>
      <c r="G21" s="42" t="inlineStr">
        <is>
          <t>Campbell, Laura (4989)</t>
        </is>
      </c>
      <c r="J21" s="15" t="inlineStr">
        <is>
          <t>12260009-Trailer - Delivery/Return Freight</t>
        </is>
      </c>
      <c r="Y21" s="15" t="inlineStr">
        <is>
          <t>EA</t>
        </is>
      </c>
      <c r="Z21" s="15">
        <f t="array" ref="Z21">INDEX(Timesheet!$A$8:$FA$8,1,_xlfn.XLOOKUP(Table9[[#This Row],[Which Column]],tblColToNum[[#All],[Column Letter]],tblColToNum[[#All],[Number]]))</f>
        <v/>
      </c>
      <c r="AA21" s="15">
        <f>IF(OR(Table9[[#This Row],[Project ID]]="",Table9[[#This Row],[Project ID]]=0),0,1)</f>
        <v/>
      </c>
      <c r="AF21" s="15" t="inlineStr">
        <is>
          <t>T</t>
        </is>
      </c>
      <c r="AG21" s="15" t="n">
        <v>20</v>
      </c>
    </row>
    <row r="22">
      <c r="A22" s="15" t="inlineStr">
        <is>
          <t>EHS - Manager</t>
        </is>
      </c>
      <c r="D22" s="15" t="inlineStr">
        <is>
          <t>HEBE</t>
        </is>
      </c>
      <c r="G22" s="41" t="inlineStr">
        <is>
          <t>Capes, Glenn (9395)</t>
        </is>
      </c>
      <c r="J22" s="15" t="inlineStr">
        <is>
          <t>12260010-Trailer - Block &amp; Level</t>
        </is>
      </c>
      <c r="Y22" s="15" t="inlineStr">
        <is>
          <t>EG</t>
        </is>
      </c>
      <c r="Z22" s="15">
        <f t="array" ref="Z22">INDEX(Timesheet!$A$8:$FA$8,1,_xlfn.XLOOKUP(Table9[[#This Row],[Which Column]],tblColToNum[[#All],[Column Letter]],tblColToNum[[#All],[Number]]))</f>
        <v/>
      </c>
      <c r="AA22" s="15">
        <f>IF(OR(Table9[[#This Row],[Project ID]]="",Table9[[#This Row],[Project ID]]=0),0,1)</f>
        <v/>
      </c>
      <c r="AF22" s="15" t="inlineStr">
        <is>
          <t>U</t>
        </is>
      </c>
      <c r="AG22" s="15" t="n">
        <v>21</v>
      </c>
    </row>
    <row r="23" ht="28.8" customHeight="1">
      <c r="A23" s="15" t="inlineStr">
        <is>
          <t>FLS</t>
        </is>
      </c>
      <c r="D23" s="15" t="inlineStr">
        <is>
          <t>idSolution</t>
        </is>
      </c>
      <c r="G23" s="42" t="inlineStr">
        <is>
          <t>Chamberlain, Evan (4213)</t>
        </is>
      </c>
      <c r="J23" s="15" t="inlineStr">
        <is>
          <t>12260011-Trailer - Teardown</t>
        </is>
      </c>
      <c r="Y23" s="15" t="inlineStr">
        <is>
          <t>EM</t>
        </is>
      </c>
      <c r="Z23" s="15">
        <f t="array" ref="Z23">INDEX(Timesheet!$A$8:$FA$8,1,_xlfn.XLOOKUP(Table9[[#This Row],[Which Column]],tblColToNum[[#All],[Column Letter]],tblColToNum[[#All],[Number]]))</f>
        <v/>
      </c>
      <c r="AA23" s="15">
        <f>IF(OR(Table9[[#This Row],[Project ID]]="",Table9[[#This Row],[Project ID]]=0),0,1)</f>
        <v/>
      </c>
      <c r="AF23" s="15" t="inlineStr">
        <is>
          <t>V</t>
        </is>
      </c>
      <c r="AG23" s="15" t="n">
        <v>22</v>
      </c>
    </row>
    <row r="24" ht="28.8" customHeight="1">
      <c r="A24" s="15" t="inlineStr">
        <is>
          <t>INS - 1</t>
        </is>
      </c>
      <c r="D24" s="15" t="inlineStr">
        <is>
          <t>INEOS Styr</t>
        </is>
      </c>
      <c r="G24" s="41" t="inlineStr">
        <is>
          <t>Chisholm, MIke (3342)</t>
        </is>
      </c>
      <c r="J24" s="15" t="inlineStr">
        <is>
          <t>12260012-Blast Resistant Trailer - Delivery/Return Freight</t>
        </is>
      </c>
      <c r="AF24" s="15" t="inlineStr">
        <is>
          <t>W</t>
        </is>
      </c>
      <c r="AG24" s="15" t="n">
        <v>23</v>
      </c>
    </row>
    <row r="25" ht="28.8" customHeight="1">
      <c r="A25" s="15" t="inlineStr">
        <is>
          <t>INS - 2</t>
        </is>
      </c>
      <c r="D25" s="15" t="inlineStr">
        <is>
          <t>Ingredion</t>
        </is>
      </c>
      <c r="G25" s="42" t="inlineStr">
        <is>
          <t>Churly, Dustin (5133)</t>
        </is>
      </c>
      <c r="J25" s="15" t="inlineStr">
        <is>
          <t>12260013-Blast Resistant Trailer - Crane Cost</t>
        </is>
      </c>
      <c r="AF25" s="15" t="inlineStr">
        <is>
          <t>X</t>
        </is>
      </c>
      <c r="AG25" s="15" t="n">
        <v>24</v>
      </c>
    </row>
    <row r="26" ht="43.2" customHeight="1">
      <c r="A26" s="15" t="inlineStr">
        <is>
          <t>INS - 3</t>
        </is>
      </c>
      <c r="D26" s="15" t="inlineStr">
        <is>
          <t>Insitu Mac</t>
        </is>
      </c>
      <c r="G26" s="41" t="inlineStr">
        <is>
          <t>Cord, Steve (9508)</t>
        </is>
      </c>
      <c r="J26" s="15" t="inlineStr">
        <is>
          <t>12260014-Office Trailer - 12'x40'/48' With 2 Sets Of Stairs - M</t>
        </is>
      </c>
      <c r="AF26" s="15" t="inlineStr">
        <is>
          <t>Y</t>
        </is>
      </c>
      <c r="AG26" s="15" t="n">
        <v>25</v>
      </c>
    </row>
    <row r="27" ht="28.8" customHeight="1">
      <c r="A27" s="15" t="inlineStr">
        <is>
          <t>INS - 4</t>
        </is>
      </c>
      <c r="D27" s="15" t="inlineStr">
        <is>
          <t>IOL Sarnia</t>
        </is>
      </c>
      <c r="G27" s="42" t="inlineStr">
        <is>
          <t>Cornish, Dustin (1327)</t>
        </is>
      </c>
      <c r="J27" s="15" t="inlineStr">
        <is>
          <t>12260015-Office Trailer - 12'x60' With 2 Sets Of Stairs - W</t>
        </is>
      </c>
      <c r="AF27" s="15" t="inlineStr">
        <is>
          <t>Z</t>
        </is>
      </c>
      <c r="AG27" s="15" t="n">
        <v>26</v>
      </c>
    </row>
    <row r="28" ht="28.8" customHeight="1">
      <c r="A28" s="15" t="inlineStr">
        <is>
          <t>INS - AF</t>
        </is>
      </c>
      <c r="D28" s="15" t="inlineStr">
        <is>
          <t>ITS</t>
        </is>
      </c>
      <c r="G28" s="41" t="inlineStr">
        <is>
          <t>Cote, Dyrick (6953)</t>
        </is>
      </c>
      <c r="J28" s="15" t="inlineStr">
        <is>
          <t>12260016-Office Trailer - 12'x60' With 2 Sets Of Stairs - M</t>
        </is>
      </c>
      <c r="AF28" s="15" t="inlineStr">
        <is>
          <t>AA</t>
        </is>
      </c>
      <c r="AG28" s="15" t="n">
        <v>27</v>
      </c>
    </row>
    <row r="29" ht="43.2" customHeight="1">
      <c r="A29" s="15" t="inlineStr">
        <is>
          <t>INS - FM</t>
        </is>
      </c>
      <c r="D29" s="15" t="inlineStr">
        <is>
          <t>IWA TEST - DNU</t>
        </is>
      </c>
      <c r="G29" s="42" t="inlineStr">
        <is>
          <t>Crockford, Daniel (0741)</t>
        </is>
      </c>
      <c r="J29" s="15" t="inlineStr">
        <is>
          <t>12260017-Xerox Machine - Copier/Fax (Charge Per Copy Not Incl.) - W</t>
        </is>
      </c>
      <c r="AF29" s="15" t="inlineStr">
        <is>
          <t>AB</t>
        </is>
      </c>
      <c r="AG29" s="15" t="n">
        <v>28</v>
      </c>
    </row>
    <row r="30" ht="43.2" customHeight="1">
      <c r="A30" s="15" t="inlineStr">
        <is>
          <t>INS - GF</t>
        </is>
      </c>
      <c r="D30" s="15" t="inlineStr">
        <is>
          <t>Lambton College</t>
        </is>
      </c>
      <c r="G30" s="41" t="inlineStr">
        <is>
          <t>Da Silva, Jessica (3512)</t>
        </is>
      </c>
      <c r="J30" s="15" t="inlineStr">
        <is>
          <t>12260018-Xerox Machine - Copier/Fax (Charge Per Copy Not Incl.) - M</t>
        </is>
      </c>
      <c r="AF30" s="15" t="inlineStr">
        <is>
          <t>AC</t>
        </is>
      </c>
      <c r="AG30" s="15" t="n">
        <v>29</v>
      </c>
    </row>
    <row r="31" ht="28.8" customHeight="1">
      <c r="A31" s="15" t="inlineStr">
        <is>
          <t>INS - JM</t>
        </is>
      </c>
      <c r="D31" s="15" t="inlineStr">
        <is>
          <t>Linde</t>
        </is>
      </c>
      <c r="G31" s="42" t="inlineStr">
        <is>
          <t>DeCiantis, Lu (5271)</t>
        </is>
      </c>
      <c r="J31" s="15" t="inlineStr">
        <is>
          <t>12260019-Trailer - Flat Deck 10'-24' - D</t>
        </is>
      </c>
      <c r="AF31" s="15" t="inlineStr">
        <is>
          <t>AD</t>
        </is>
      </c>
      <c r="AG31" s="15" t="n">
        <v>30</v>
      </c>
    </row>
    <row r="32" ht="28.8" customHeight="1">
      <c r="A32" s="15" t="inlineStr">
        <is>
          <t>IW - 1</t>
        </is>
      </c>
      <c r="D32" s="15" t="inlineStr">
        <is>
          <t>NOVA Corunna</t>
        </is>
      </c>
      <c r="G32" s="41" t="inlineStr">
        <is>
          <t>Dell, Kenya (0886)</t>
        </is>
      </c>
      <c r="J32" s="15" t="inlineStr">
        <is>
          <t>12260020-Trailer - Flat Deck 25'-40' - D</t>
        </is>
      </c>
      <c r="AF32" s="15" t="inlineStr">
        <is>
          <t>AE</t>
        </is>
      </c>
      <c r="AG32" s="15" t="n">
        <v>31</v>
      </c>
    </row>
    <row r="33" ht="28.8" customHeight="1">
      <c r="A33" s="15" t="inlineStr">
        <is>
          <t>IW - 2</t>
        </is>
      </c>
      <c r="D33" s="15" t="inlineStr">
        <is>
          <t>NOVA Rokeby</t>
        </is>
      </c>
      <c r="G33" s="42" t="inlineStr">
        <is>
          <t>Dillman, Michael (8685)</t>
        </is>
      </c>
      <c r="J33" s="15" t="inlineStr">
        <is>
          <t>12260021-Trailer- Enclosed (Tool Trailer) - D</t>
        </is>
      </c>
      <c r="AF33" s="15" t="inlineStr">
        <is>
          <t>AF</t>
        </is>
      </c>
      <c r="AG33" s="15" t="n">
        <v>32</v>
      </c>
    </row>
    <row r="34" ht="28.8" customHeight="1">
      <c r="A34" s="15" t="inlineStr">
        <is>
          <t>IW - 3</t>
        </is>
      </c>
      <c r="D34" s="15" t="inlineStr">
        <is>
          <t>NPL Canada</t>
        </is>
      </c>
      <c r="G34" s="41" t="inlineStr">
        <is>
          <t>Dobroski, Adam (0105)</t>
        </is>
      </c>
      <c r="J34" s="15" t="inlineStr">
        <is>
          <t>12260060-Ice Box - W</t>
        </is>
      </c>
      <c r="AF34" s="15" t="inlineStr">
        <is>
          <t>AG</t>
        </is>
      </c>
      <c r="AG34" s="15" t="n">
        <v>33</v>
      </c>
    </row>
    <row r="35" ht="43.2" customHeight="1">
      <c r="A35" s="15" t="inlineStr">
        <is>
          <t>IW - 4</t>
        </is>
      </c>
      <c r="D35" s="15" t="inlineStr">
        <is>
          <t>Ogilvie El</t>
        </is>
      </c>
      <c r="G35" s="42" t="inlineStr">
        <is>
          <t>Dryden, Marion (3711)</t>
        </is>
      </c>
      <c r="J35" s="15" t="inlineStr">
        <is>
          <t>12260061-Office Trailer - 12'x40'/48' With 2 Sets Of Stairs - W</t>
        </is>
      </c>
      <c r="AF35" s="15" t="inlineStr">
        <is>
          <t>AH</t>
        </is>
      </c>
      <c r="AG35" s="15" t="n">
        <v>34</v>
      </c>
    </row>
    <row r="36">
      <c r="A36" s="15" t="inlineStr">
        <is>
          <t>IW - 5</t>
        </is>
      </c>
      <c r="D36" s="15" t="inlineStr">
        <is>
          <t>Path Envir</t>
        </is>
      </c>
      <c r="G36" s="41" t="inlineStr">
        <is>
          <t>Duarte, Tyler (6187)</t>
        </is>
      </c>
      <c r="J36" s="15" t="inlineStr">
        <is>
          <t>12260062-Ice Box - M</t>
        </is>
      </c>
      <c r="AF36" s="15" t="inlineStr">
        <is>
          <t>AI</t>
        </is>
      </c>
      <c r="AG36" s="15" t="n">
        <v>35</v>
      </c>
    </row>
    <row r="37" ht="28.8" customHeight="1">
      <c r="A37" s="15" t="inlineStr">
        <is>
          <t>IW - 6</t>
        </is>
      </c>
      <c r="D37" s="15" t="inlineStr">
        <is>
          <t>Procor Lim</t>
        </is>
      </c>
      <c r="G37" s="42" t="inlineStr">
        <is>
          <t>Dunn, Randy (6959)</t>
        </is>
      </c>
      <c r="J37" s="15" t="inlineStr">
        <is>
          <t>12260063-Ice Box - Delivery/Return Freight</t>
        </is>
      </c>
      <c r="AF37" s="15" t="inlineStr">
        <is>
          <t>AJ</t>
        </is>
      </c>
      <c r="AG37" s="15" t="n">
        <v>36</v>
      </c>
    </row>
    <row r="38">
      <c r="A38" s="15" t="inlineStr">
        <is>
          <t>IW - FM</t>
        </is>
      </c>
      <c r="D38" s="15" t="inlineStr">
        <is>
          <t>PTW Energy</t>
        </is>
      </c>
      <c r="G38" s="41" t="inlineStr">
        <is>
          <t>Edgar, Chuck (0611)</t>
        </is>
      </c>
      <c r="J38" s="15" t="inlineStr">
        <is>
          <t>12261001-Laptop - D</t>
        </is>
      </c>
      <c r="AF38" s="15" t="inlineStr">
        <is>
          <t>AK</t>
        </is>
      </c>
      <c r="AG38" s="15" t="n">
        <v>37</v>
      </c>
    </row>
    <row r="39" ht="28.8" customHeight="1">
      <c r="A39" s="15" t="inlineStr">
        <is>
          <t>IW - GF</t>
        </is>
      </c>
      <c r="D39" s="15" t="inlineStr">
        <is>
          <t>Sarnia Plumbing</t>
        </is>
      </c>
      <c r="G39" s="42" t="inlineStr">
        <is>
          <t>Fernandes, Kevin (0551)</t>
        </is>
      </c>
      <c r="J39" s="15" t="inlineStr">
        <is>
          <t>12261002-Laptop - W</t>
        </is>
      </c>
      <c r="AF39" s="15" t="inlineStr">
        <is>
          <t>AL</t>
        </is>
      </c>
      <c r="AG39" s="15" t="n">
        <v>38</v>
      </c>
    </row>
    <row r="40">
      <c r="A40" s="15" t="inlineStr">
        <is>
          <t>IW - JM</t>
        </is>
      </c>
      <c r="D40" s="15" t="inlineStr">
        <is>
          <t>Shell</t>
        </is>
      </c>
      <c r="G40" s="41" t="inlineStr">
        <is>
          <t>Fisher, Terry (3185)</t>
        </is>
      </c>
      <c r="J40" s="15" t="inlineStr">
        <is>
          <t>12261003-Laptop - M</t>
        </is>
      </c>
      <c r="AF40" s="15" t="inlineStr">
        <is>
          <t>AM</t>
        </is>
      </c>
      <c r="AG40" s="15" t="n">
        <v>39</v>
      </c>
    </row>
    <row r="41" ht="28.8" customHeight="1">
      <c r="A41" s="15" t="inlineStr">
        <is>
          <t>LAB - JM</t>
        </is>
      </c>
      <c r="D41" s="15" t="inlineStr">
        <is>
          <t>Suncor Sarnia-2</t>
        </is>
      </c>
      <c r="G41" s="42" t="inlineStr">
        <is>
          <t>Flanagan, Kylie (3344)</t>
        </is>
      </c>
      <c r="J41" s="15" t="inlineStr">
        <is>
          <t>12261004-Tablet - D</t>
        </is>
      </c>
      <c r="AF41" s="15" t="inlineStr">
        <is>
          <t>AN</t>
        </is>
      </c>
      <c r="AG41" s="15" t="n">
        <v>40</v>
      </c>
    </row>
    <row r="42" ht="28.8" customHeight="1">
      <c r="A42" s="15" t="inlineStr">
        <is>
          <t>LAB - PM</t>
        </is>
      </c>
      <c r="D42" s="15" t="inlineStr">
        <is>
          <t>The Machining Group</t>
        </is>
      </c>
      <c r="G42" s="41" t="inlineStr">
        <is>
          <t>Foubister, Doug (5449)</t>
        </is>
      </c>
      <c r="J42" s="15" t="inlineStr">
        <is>
          <t>12261005-Tablet - W</t>
        </is>
      </c>
      <c r="AF42" s="15" t="inlineStr">
        <is>
          <t>AO</t>
        </is>
      </c>
      <c r="AG42" s="15" t="n">
        <v>41</v>
      </c>
    </row>
    <row r="43">
      <c r="A43" s="15" t="inlineStr">
        <is>
          <t>LAB - WF</t>
        </is>
      </c>
      <c r="D43" s="15" t="inlineStr">
        <is>
          <t>TransAlta</t>
        </is>
      </c>
      <c r="G43" s="42" t="inlineStr">
        <is>
          <t>Freer, Jared (1839)</t>
        </is>
      </c>
      <c r="J43" s="15" t="inlineStr">
        <is>
          <t>12261006-Tablet - M</t>
        </is>
      </c>
      <c r="AF43" s="15" t="inlineStr">
        <is>
          <t>AP</t>
        </is>
      </c>
      <c r="AG43" s="15" t="n">
        <v>42</v>
      </c>
    </row>
    <row r="44">
      <c r="A44" s="15" t="inlineStr">
        <is>
          <t>OE - FM</t>
        </is>
      </c>
      <c r="D44" s="15" t="inlineStr">
        <is>
          <t>Utility Global</t>
        </is>
      </c>
      <c r="G44" s="41" t="inlineStr">
        <is>
          <t>Geddes, Chris (0429)</t>
        </is>
      </c>
      <c r="J44" s="15" t="inlineStr">
        <is>
          <t>12262000-Leica RTC360 Scanner</t>
        </is>
      </c>
      <c r="AF44" s="15" t="inlineStr">
        <is>
          <t>AQ</t>
        </is>
      </c>
      <c r="AG44" s="15" t="n">
        <v>43</v>
      </c>
    </row>
    <row r="45">
      <c r="A45" s="15" t="inlineStr">
        <is>
          <t>OE - JM</t>
        </is>
      </c>
      <c r="D45" s="15" t="inlineStr">
        <is>
          <t>Wolverine</t>
        </is>
      </c>
      <c r="G45" s="42" t="inlineStr">
        <is>
          <t>Gilliard, Kyle (7884)</t>
        </is>
      </c>
      <c r="J45" s="15" t="inlineStr">
        <is>
          <t>12262012-1/2" Torque Wrench - W</t>
        </is>
      </c>
      <c r="AF45" s="15" t="inlineStr">
        <is>
          <t>AR</t>
        </is>
      </c>
      <c r="AG45" s="15" t="n">
        <v>44</v>
      </c>
    </row>
    <row r="46" ht="28.8" customHeight="1">
      <c r="A46" s="15" t="inlineStr">
        <is>
          <t>OMIT</t>
        </is>
      </c>
      <c r="D46" s="15" t="inlineStr">
        <is>
          <t>WSP</t>
        </is>
      </c>
      <c r="G46" s="41" t="inlineStr">
        <is>
          <t>Gleason, Chris (9959)</t>
        </is>
      </c>
      <c r="J46" s="15" t="inlineStr">
        <is>
          <t>12262013-1/2" Torque Wrench - M</t>
        </is>
      </c>
      <c r="AF46" s="15" t="inlineStr">
        <is>
          <t>AS</t>
        </is>
      </c>
      <c r="AG46" s="15" t="n">
        <v>45</v>
      </c>
    </row>
    <row r="47">
      <c r="A47" s="15" t="inlineStr">
        <is>
          <t>PC - Controller</t>
        </is>
      </c>
      <c r="G47" s="42" t="inlineStr">
        <is>
          <t>Gore, Joe (1559)</t>
        </is>
      </c>
      <c r="J47" s="15" t="inlineStr">
        <is>
          <t>12262031-3/4" Torque Wrench - W</t>
        </is>
      </c>
      <c r="AF47" s="15" t="inlineStr">
        <is>
          <t>AT</t>
        </is>
      </c>
      <c r="AG47" s="15" t="n">
        <v>46</v>
      </c>
    </row>
    <row r="48" ht="28.8" customHeight="1">
      <c r="A48" s="15" t="inlineStr">
        <is>
          <t>PC - Data Analyst</t>
        </is>
      </c>
      <c r="G48" s="41" t="inlineStr">
        <is>
          <t>Goulais, Samantha (1151)</t>
        </is>
      </c>
      <c r="J48" s="15" t="inlineStr">
        <is>
          <t>12262032-3/4" Torque Wrench - M</t>
        </is>
      </c>
      <c r="AF48" s="15" t="inlineStr">
        <is>
          <t>AU</t>
        </is>
      </c>
      <c r="AG48" s="15" t="n">
        <v>47</v>
      </c>
    </row>
    <row r="49">
      <c r="A49" s="15" t="inlineStr">
        <is>
          <t>PC - Planner</t>
        </is>
      </c>
      <c r="G49" s="42" t="inlineStr">
        <is>
          <t>Gould, Kyle (3256)</t>
        </is>
      </c>
      <c r="J49" s="15" t="inlineStr">
        <is>
          <t>12262033-350 lb Rod Oven - W</t>
        </is>
      </c>
      <c r="AF49" s="15" t="inlineStr">
        <is>
          <t>AV</t>
        </is>
      </c>
      <c r="AG49" s="15" t="n">
        <v>48</v>
      </c>
    </row>
    <row r="50">
      <c r="A50" s="15" t="inlineStr">
        <is>
          <t>PC - Sched</t>
        </is>
      </c>
      <c r="G50" s="41" t="inlineStr">
        <is>
          <t>Grant, Ted (8658)</t>
        </is>
      </c>
      <c r="J50" s="15" t="inlineStr">
        <is>
          <t>12262034-350 lb Rod Oven - M</t>
        </is>
      </c>
      <c r="AF50" s="15" t="inlineStr">
        <is>
          <t>AW</t>
        </is>
      </c>
      <c r="AG50" s="15" t="n">
        <v>49</v>
      </c>
    </row>
    <row r="51">
      <c r="A51" s="15" t="inlineStr">
        <is>
          <t>PF - 1</t>
        </is>
      </c>
      <c r="G51" s="42" t="inlineStr">
        <is>
          <t>Griffin, Joel (6670)</t>
        </is>
      </c>
      <c r="J51" s="15" t="inlineStr">
        <is>
          <t>12262041-535 Threader - D</t>
        </is>
      </c>
      <c r="AF51" s="15" t="inlineStr">
        <is>
          <t>AX</t>
        </is>
      </c>
      <c r="AG51" s="15" t="n">
        <v>50</v>
      </c>
    </row>
    <row r="52">
      <c r="A52" s="15" t="inlineStr">
        <is>
          <t>PF - 2</t>
        </is>
      </c>
      <c r="G52" s="41" t="inlineStr">
        <is>
          <t>Hayes, Matt (0502)</t>
        </is>
      </c>
      <c r="J52" s="15" t="inlineStr">
        <is>
          <t>12262042-535 Threader - W</t>
        </is>
      </c>
      <c r="AF52" s="15" t="inlineStr">
        <is>
          <t>AY</t>
        </is>
      </c>
      <c r="AG52" s="15" t="n">
        <v>51</v>
      </c>
    </row>
    <row r="53">
      <c r="A53" s="15" t="inlineStr">
        <is>
          <t>PF - 3</t>
        </is>
      </c>
      <c r="G53" s="42" t="inlineStr">
        <is>
          <t>Helle, Chris (8855)</t>
        </is>
      </c>
      <c r="J53" s="15" t="inlineStr">
        <is>
          <t>12262043-535 Threader - M</t>
        </is>
      </c>
      <c r="AF53" s="15" t="inlineStr">
        <is>
          <t>AZ</t>
        </is>
      </c>
      <c r="AG53" s="15" t="n">
        <v>52</v>
      </c>
    </row>
    <row r="54" ht="28.8" customHeight="1">
      <c r="A54" s="15" t="inlineStr">
        <is>
          <t>PF - 4</t>
        </is>
      </c>
      <c r="G54" s="41" t="inlineStr">
        <is>
          <t>Highfield, Aaron (8487)</t>
        </is>
      </c>
      <c r="J54" s="15" t="inlineStr">
        <is>
          <t>12262044-Saw - Fein Air - D</t>
        </is>
      </c>
      <c r="AF54" s="15" t="inlineStr">
        <is>
          <t>BA</t>
        </is>
      </c>
      <c r="AG54" s="15" t="n">
        <v>53</v>
      </c>
    </row>
    <row r="55" ht="28.8" customHeight="1">
      <c r="A55" s="15" t="inlineStr">
        <is>
          <t>PF - 5</t>
        </is>
      </c>
      <c r="G55" s="42" t="inlineStr">
        <is>
          <t>Hyde, Michael (0954)</t>
        </is>
      </c>
      <c r="J55" s="15" t="inlineStr">
        <is>
          <t>12262048-Compressor 185 CFM - D</t>
        </is>
      </c>
      <c r="AF55" s="15" t="inlineStr">
        <is>
          <t>BB</t>
        </is>
      </c>
      <c r="AG55" s="15" t="n">
        <v>54</v>
      </c>
    </row>
    <row r="56" ht="28.8" customHeight="1">
      <c r="A56" s="15" t="inlineStr">
        <is>
          <t>PF - AF</t>
        </is>
      </c>
      <c r="G56" s="41" t="inlineStr">
        <is>
          <t>Irwin, Dylan (9142)</t>
        </is>
      </c>
      <c r="J56" s="15" t="inlineStr">
        <is>
          <t>12262049-Compressor 185 CFM - W</t>
        </is>
      </c>
      <c r="AF56" s="15" t="inlineStr">
        <is>
          <t>BC</t>
        </is>
      </c>
      <c r="AG56" s="15" t="n">
        <v>55</v>
      </c>
    </row>
    <row r="57" ht="28.8" customHeight="1">
      <c r="A57" s="15" t="inlineStr">
        <is>
          <t>PF - Foreman</t>
        </is>
      </c>
      <c r="G57" s="42" t="inlineStr">
        <is>
          <t>Jamer, Douglas (3003)</t>
        </is>
      </c>
      <c r="J57" s="15" t="inlineStr">
        <is>
          <t>12262050-Compressor 185 CFM - M</t>
        </is>
      </c>
      <c r="AF57" s="15" t="inlineStr">
        <is>
          <t>BD</t>
        </is>
      </c>
      <c r="AG57" s="15" t="n">
        <v>56</v>
      </c>
    </row>
    <row r="58" ht="28.8" customHeight="1">
      <c r="A58" s="15" t="inlineStr">
        <is>
          <t>PF - GF</t>
        </is>
      </c>
      <c r="G58" s="41" t="inlineStr">
        <is>
          <t>Johnston, Brendan (4676)</t>
        </is>
      </c>
      <c r="J58" s="15" t="inlineStr">
        <is>
          <t>12262051-Electric Fusion Machine 2in-4in - D</t>
        </is>
      </c>
      <c r="AF58" s="15" t="inlineStr">
        <is>
          <t>BE</t>
        </is>
      </c>
      <c r="AG58" s="15" t="n">
        <v>57</v>
      </c>
    </row>
    <row r="59" ht="28.8" customHeight="1">
      <c r="A59" s="15" t="inlineStr">
        <is>
          <t>PF - JM</t>
        </is>
      </c>
      <c r="G59" s="42" t="inlineStr">
        <is>
          <t>Johnston, Patrick (2375)</t>
        </is>
      </c>
      <c r="J59" s="15" t="inlineStr">
        <is>
          <t>12262052-Electric Fusion Machine 4in-12in - D</t>
        </is>
      </c>
      <c r="AF59" s="15" t="inlineStr">
        <is>
          <t>BF</t>
        </is>
      </c>
      <c r="AG59" s="15" t="n">
        <v>58</v>
      </c>
    </row>
    <row r="60" ht="28.8" customHeight="1">
      <c r="A60" s="15" t="inlineStr">
        <is>
          <t>PF - Welder</t>
        </is>
      </c>
      <c r="G60" s="41" t="inlineStr">
        <is>
          <t>Jolicoeur, Marc (2949)</t>
        </is>
      </c>
      <c r="J60" s="15" t="inlineStr">
        <is>
          <t>12262053-Fabrication Bench - D</t>
        </is>
      </c>
      <c r="AF60" s="15" t="inlineStr">
        <is>
          <t>BG</t>
        </is>
      </c>
      <c r="AG60" s="15" t="n">
        <v>59</v>
      </c>
    </row>
    <row r="61" ht="28.8" customHeight="1">
      <c r="A61" s="15" t="inlineStr">
        <is>
          <t>PM - PM &amp; Estimating</t>
        </is>
      </c>
      <c r="G61" s="42" t="inlineStr">
        <is>
          <t>Joshi, Nitin (9745)</t>
        </is>
      </c>
      <c r="J61" s="15" t="inlineStr">
        <is>
          <t>12262054-Flange Spreader - 10,000 LB - W</t>
        </is>
      </c>
      <c r="AF61" s="15" t="inlineStr">
        <is>
          <t>BH</t>
        </is>
      </c>
      <c r="AG61" s="15" t="n">
        <v>60</v>
      </c>
    </row>
    <row r="62" ht="43.2" customHeight="1">
      <c r="A62" s="15" t="inlineStr">
        <is>
          <t>PM - Superintendent</t>
        </is>
      </c>
      <c r="G62" s="41" t="inlineStr">
        <is>
          <t>Kameka, Kevin (8845)</t>
        </is>
      </c>
      <c r="J62" s="15" t="inlineStr">
        <is>
          <t>12262055-Flange Spreader - 10,000 LB - M</t>
        </is>
      </c>
      <c r="AF62" s="15" t="inlineStr">
        <is>
          <t>BI</t>
        </is>
      </c>
      <c r="AG62" s="15" t="n">
        <v>61</v>
      </c>
    </row>
    <row r="63" ht="28.8" customHeight="1">
      <c r="A63" s="15" t="inlineStr">
        <is>
          <t>PROC - Specialist</t>
        </is>
      </c>
      <c r="G63" s="42" t="inlineStr">
        <is>
          <t>Kang, Bhavneet (3419)</t>
        </is>
      </c>
      <c r="J63" s="15" t="inlineStr">
        <is>
          <t>12262055-Light - 3FT LED - D</t>
        </is>
      </c>
      <c r="AF63" s="15" t="inlineStr">
        <is>
          <t>BJ</t>
        </is>
      </c>
      <c r="AG63" s="15" t="n">
        <v>62</v>
      </c>
    </row>
    <row r="64" ht="28.8" customHeight="1">
      <c r="A64" s="15" t="inlineStr">
        <is>
          <t>QC - Advisor</t>
        </is>
      </c>
      <c r="G64" s="41" t="inlineStr">
        <is>
          <t>Kapteyn, Erin (6690)</t>
        </is>
      </c>
      <c r="J64" s="15" t="inlineStr">
        <is>
          <t>12262056-Fresh Air Trailer (Dbl Use) - D</t>
        </is>
      </c>
      <c r="AF64" s="15" t="inlineStr">
        <is>
          <t>BK</t>
        </is>
      </c>
      <c r="AG64" s="15" t="n">
        <v>63</v>
      </c>
    </row>
    <row r="65" ht="28.8" customHeight="1">
      <c r="A65" s="15" t="inlineStr">
        <is>
          <t>QC - Manager</t>
        </is>
      </c>
      <c r="G65" s="42" t="inlineStr">
        <is>
          <t>Kennedy, Michael (2545)</t>
        </is>
      </c>
      <c r="J65" s="15" t="inlineStr">
        <is>
          <t>12262057-Fresh Air Trailer (Single Use) - D</t>
        </is>
      </c>
      <c r="AF65" s="15" t="inlineStr">
        <is>
          <t>BL</t>
        </is>
      </c>
      <c r="AG65" s="15" t="n">
        <v>64</v>
      </c>
    </row>
    <row r="66" ht="28.8" customHeight="1">
      <c r="A66" s="15" t="inlineStr">
        <is>
          <t>Teamster</t>
        </is>
      </c>
      <c r="G66" s="41" t="inlineStr">
        <is>
          <t>Kennedy, Vince (8196)</t>
        </is>
      </c>
      <c r="J66" s="15" t="inlineStr">
        <is>
          <t>12262058-Generator 3500W Gasoline (Fuel Incl) - D</t>
        </is>
      </c>
      <c r="AF66" s="15" t="inlineStr">
        <is>
          <t>BM</t>
        </is>
      </c>
      <c r="AG66" s="15" t="n">
        <v>65</v>
      </c>
    </row>
    <row r="67" ht="28.8" customHeight="1">
      <c r="A67" s="15" t="inlineStr">
        <is>
          <t>Timekeeper</t>
        </is>
      </c>
      <c r="G67" s="42" t="inlineStr">
        <is>
          <t>Kerr, Kyle (9687)</t>
        </is>
      </c>
      <c r="J67" s="15" t="inlineStr">
        <is>
          <t>12262059-Generator 3500W Gasoline (Fuel Incl) - W</t>
        </is>
      </c>
      <c r="AF67" s="15" t="inlineStr">
        <is>
          <t>BN</t>
        </is>
      </c>
      <c r="AG67" s="15" t="n">
        <v>66</v>
      </c>
    </row>
    <row r="68" ht="28.8" customHeight="1">
      <c r="G68" s="41" t="inlineStr">
        <is>
          <t>Kjeldsen, Fran (1643)</t>
        </is>
      </c>
      <c r="J68" s="15" t="inlineStr">
        <is>
          <t>12262060-Generator 3500W Gasoline (Fuel Incl) - M</t>
        </is>
      </c>
      <c r="AF68" s="15" t="inlineStr">
        <is>
          <t>BO</t>
        </is>
      </c>
      <c r="AG68" s="15" t="n">
        <v>67</v>
      </c>
    </row>
    <row r="69" ht="28.8" customHeight="1">
      <c r="G69" s="42" t="inlineStr">
        <is>
          <t>Klassen, Raymond (0934)</t>
        </is>
      </c>
      <c r="J69" s="15" t="inlineStr">
        <is>
          <t>12262065-Saw - TigAir - D</t>
        </is>
      </c>
      <c r="AF69" s="15" t="inlineStr">
        <is>
          <t>BP</t>
        </is>
      </c>
      <c r="AG69" s="15" t="n">
        <v>68</v>
      </c>
    </row>
    <row r="70" ht="28.8" customHeight="1">
      <c r="G70" s="41" t="inlineStr">
        <is>
          <t>Kraayenbrink, Brian (9027)</t>
        </is>
      </c>
      <c r="J70" s="15" t="inlineStr">
        <is>
          <t>12262070-Welding Machine - 6 Pack Electric - W</t>
        </is>
      </c>
      <c r="AF70" s="15" t="inlineStr">
        <is>
          <t>BQ</t>
        </is>
      </c>
      <c r="AG70" s="15" t="n">
        <v>69</v>
      </c>
    </row>
    <row r="71" ht="28.8" customHeight="1">
      <c r="G71" s="42" t="inlineStr">
        <is>
          <t>Laberge, Kevin (0035)</t>
        </is>
      </c>
      <c r="J71" s="15" t="inlineStr">
        <is>
          <t>12262071-Jobox - W</t>
        </is>
      </c>
      <c r="AF71" s="15" t="inlineStr">
        <is>
          <t>BR</t>
        </is>
      </c>
      <c r="AG71" s="15" t="n">
        <v>70</v>
      </c>
    </row>
    <row r="72" ht="28.8" customHeight="1">
      <c r="G72" s="41" t="inlineStr">
        <is>
          <t>Lavoie, Christopher (5283)</t>
        </is>
      </c>
      <c r="J72" s="15" t="inlineStr">
        <is>
          <t>12262072-Jobox - M</t>
        </is>
      </c>
      <c r="AF72" s="15" t="inlineStr">
        <is>
          <t>BS</t>
        </is>
      </c>
      <c r="AG72" s="15" t="n">
        <v>71</v>
      </c>
    </row>
    <row r="73" ht="28.8" customHeight="1">
      <c r="G73" s="42" t="inlineStr">
        <is>
          <t>Lelievre, Christopher (9549)</t>
        </is>
      </c>
      <c r="J73" s="15" t="inlineStr">
        <is>
          <t>12262074-Mag Drill - D</t>
        </is>
      </c>
      <c r="AF73" s="15" t="inlineStr">
        <is>
          <t>BT</t>
        </is>
      </c>
      <c r="AG73" s="15" t="n">
        <v>72</v>
      </c>
    </row>
    <row r="74">
      <c r="G74" s="41" t="inlineStr">
        <is>
          <t>Levis, Dan (7212)</t>
        </is>
      </c>
      <c r="J74" s="15" t="inlineStr">
        <is>
          <t>12262075-Mag Drill - W</t>
        </is>
      </c>
      <c r="AF74" s="15" t="inlineStr">
        <is>
          <t>BU</t>
        </is>
      </c>
      <c r="AG74" s="15" t="n">
        <v>73</v>
      </c>
    </row>
    <row r="75">
      <c r="G75" s="41" t="inlineStr">
        <is>
          <t>Lines, Carson (8444)</t>
        </is>
      </c>
      <c r="J75" s="15" t="inlineStr">
        <is>
          <t>12262076-Mag Drill - M</t>
        </is>
      </c>
      <c r="AF75" s="15" t="inlineStr">
        <is>
          <t>BV</t>
        </is>
      </c>
      <c r="AG75" s="15" t="n">
        <v>74</v>
      </c>
    </row>
    <row r="76" ht="28.8" customHeight="1">
      <c r="G76" s="41" t="inlineStr">
        <is>
          <t>Liukko, Matthew (6597)</t>
        </is>
      </c>
      <c r="J76" s="15" t="inlineStr">
        <is>
          <t>12262078-Manlift (60ft) - D</t>
        </is>
      </c>
      <c r="AF76" s="15" t="inlineStr">
        <is>
          <t>BW</t>
        </is>
      </c>
      <c r="AG76" s="15" t="n">
        <v>75</v>
      </c>
    </row>
    <row r="77" ht="28.8" customHeight="1">
      <c r="G77" s="41" t="inlineStr">
        <is>
          <t>Logan, Andrew (4515)</t>
        </is>
      </c>
      <c r="J77" s="15" t="inlineStr">
        <is>
          <t>12262080-OT Meals - D</t>
        </is>
      </c>
      <c r="AF77" s="15" t="inlineStr">
        <is>
          <t>BX</t>
        </is>
      </c>
      <c r="AG77" s="15" t="n">
        <v>76</v>
      </c>
    </row>
    <row r="78" ht="28.8" customHeight="1">
      <c r="G78" s="41" t="inlineStr">
        <is>
          <t>Lumley, Darryl (1972)</t>
        </is>
      </c>
      <c r="J78" s="15" t="inlineStr">
        <is>
          <t>12262081-Oxy/Acetylene Cuttting Outfit - W</t>
        </is>
      </c>
      <c r="AF78" s="15" t="inlineStr">
        <is>
          <t>BY</t>
        </is>
      </c>
      <c r="AG78" s="15" t="n">
        <v>77</v>
      </c>
    </row>
    <row r="79" ht="28.8" customHeight="1">
      <c r="G79" s="41" t="inlineStr">
        <is>
          <t>MacAlpine, Chris (0580)</t>
        </is>
      </c>
      <c r="J79" s="15" t="inlineStr">
        <is>
          <t>12262082-Oxy/Acetylene Cuttting Outfit - M</t>
        </is>
      </c>
      <c r="AF79" s="15" t="inlineStr">
        <is>
          <t>BZ</t>
        </is>
      </c>
      <c r="AG79" s="15" t="n">
        <v>78</v>
      </c>
    </row>
    <row r="80" ht="28.8" customHeight="1">
      <c r="G80" s="41" t="inlineStr">
        <is>
          <t>MacDougall, Jace (4061)</t>
        </is>
      </c>
      <c r="J80" s="15" t="inlineStr">
        <is>
          <t>12262083-Pipe Stand - W</t>
        </is>
      </c>
      <c r="AF80" s="15" t="inlineStr">
        <is>
          <t>CA</t>
        </is>
      </c>
      <c r="AG80" s="15" t="n">
        <v>79</v>
      </c>
    </row>
    <row r="81" ht="28.8" customHeight="1">
      <c r="G81" s="41" t="inlineStr">
        <is>
          <t>Maddock, Dan (9858)</t>
        </is>
      </c>
      <c r="J81" s="15" t="inlineStr">
        <is>
          <t>12262084-Pipe Stand - M</t>
        </is>
      </c>
      <c r="AF81" s="15" t="inlineStr">
        <is>
          <t>CB</t>
        </is>
      </c>
      <c r="AG81" s="15" t="n">
        <v>80</v>
      </c>
    </row>
    <row r="82" ht="28.8" customHeight="1">
      <c r="G82" s="41" t="inlineStr">
        <is>
          <t>McCartney, Josh (3648)</t>
        </is>
      </c>
      <c r="J82" s="15" t="inlineStr">
        <is>
          <t>12262087-Portaband Saw - W</t>
        </is>
      </c>
      <c r="AF82" s="15" t="inlineStr">
        <is>
          <t>CC</t>
        </is>
      </c>
      <c r="AG82" s="15" t="n">
        <v>81</v>
      </c>
    </row>
    <row r="83" ht="28.8" customHeight="1">
      <c r="G83" s="41" t="inlineStr">
        <is>
          <t>McDonald, Kyle (9533)</t>
        </is>
      </c>
      <c r="J83" s="15" t="inlineStr">
        <is>
          <t>12262088-Portaband Saw - M</t>
        </is>
      </c>
      <c r="AF83" s="15" t="inlineStr">
        <is>
          <t>CD</t>
        </is>
      </c>
      <c r="AG83" s="15" t="n">
        <v>82</v>
      </c>
    </row>
    <row r="84" ht="28.8" customHeight="1">
      <c r="G84" s="41" t="inlineStr">
        <is>
          <t>McFadden, Greg (7980)</t>
        </is>
      </c>
      <c r="J84" s="15" t="inlineStr">
        <is>
          <t>12262089-Radios - W</t>
        </is>
      </c>
      <c r="AF84" s="15" t="inlineStr">
        <is>
          <t>CE</t>
        </is>
      </c>
      <c r="AG84" s="15" t="n">
        <v>83</v>
      </c>
    </row>
    <row r="85" ht="28.8" customHeight="1">
      <c r="G85" s="41" t="inlineStr">
        <is>
          <t>McGuire, Samantha (6759)</t>
        </is>
      </c>
      <c r="J85" s="15" t="inlineStr">
        <is>
          <t>12262090-Radios - M</t>
        </is>
      </c>
      <c r="AF85" s="15" t="inlineStr">
        <is>
          <t>CF</t>
        </is>
      </c>
      <c r="AG85" s="15" t="n">
        <v>84</v>
      </c>
    </row>
    <row r="86" ht="28.8" customHeight="1">
      <c r="G86" s="41" t="inlineStr">
        <is>
          <t>Mercer, Bradley (2626)</t>
        </is>
      </c>
      <c r="J86" s="15" t="inlineStr">
        <is>
          <t>12262091-Reciprocating Saw - M</t>
        </is>
      </c>
      <c r="AF86" s="15" t="inlineStr">
        <is>
          <t>CG</t>
        </is>
      </c>
      <c r="AG86" s="15" t="n">
        <v>85</v>
      </c>
    </row>
    <row r="87" ht="28.8" customHeight="1">
      <c r="G87" s="41" t="inlineStr">
        <is>
          <t>Millson, Grant (4768)</t>
        </is>
      </c>
      <c r="J87" s="15" t="inlineStr">
        <is>
          <t>12262092-Reciprocating Saw - W</t>
        </is>
      </c>
      <c r="AF87" s="15" t="inlineStr">
        <is>
          <t>CH</t>
        </is>
      </c>
      <c r="AG87" s="15" t="n">
        <v>86</v>
      </c>
    </row>
    <row r="88" ht="28.8" customHeight="1">
      <c r="G88" s="41" t="inlineStr">
        <is>
          <t>Mitchell, Braedan (7415)</t>
        </is>
      </c>
      <c r="J88" s="15" t="inlineStr">
        <is>
          <t>12262093-Sea-Can - M</t>
        </is>
      </c>
      <c r="AF88" s="15" t="inlineStr">
        <is>
          <t>CI</t>
        </is>
      </c>
      <c r="AG88" s="15" t="n">
        <v>87</v>
      </c>
    </row>
    <row r="89" ht="28.8" customHeight="1">
      <c r="G89" s="41" t="inlineStr">
        <is>
          <t>Moore, Ryan (8370)</t>
        </is>
      </c>
      <c r="J89" s="15" t="inlineStr">
        <is>
          <t>12262094-Shop Equipment/hr/man - H</t>
        </is>
      </c>
      <c r="AF89" s="15" t="inlineStr">
        <is>
          <t>CJ</t>
        </is>
      </c>
      <c r="AG89" s="15" t="n">
        <v>88</v>
      </c>
    </row>
    <row r="90" ht="28.8" customHeight="1">
      <c r="G90" s="41" t="inlineStr">
        <is>
          <t>Morningstar, Jeremy (0622)</t>
        </is>
      </c>
      <c r="J90" s="15" t="inlineStr">
        <is>
          <t>12262096-Wagon Yard Cart - W</t>
        </is>
      </c>
      <c r="AF90" s="15" t="inlineStr">
        <is>
          <t>CK</t>
        </is>
      </c>
      <c r="AG90" s="15" t="n">
        <v>89</v>
      </c>
    </row>
    <row r="91" ht="28.8" customHeight="1">
      <c r="G91" s="41" t="inlineStr">
        <is>
          <t>Moss, Brandon (2966)</t>
        </is>
      </c>
      <c r="J91" s="15" t="inlineStr">
        <is>
          <t>12262097-Wagon Yard Cart - M</t>
        </is>
      </c>
      <c r="AF91" s="15" t="inlineStr">
        <is>
          <t>CL</t>
        </is>
      </c>
      <c r="AG91" s="15" t="n">
        <v>90</v>
      </c>
    </row>
    <row r="92" ht="28.8" customHeight="1">
      <c r="G92" s="41" t="inlineStr">
        <is>
          <t>Mulyk, Mason (0320)</t>
        </is>
      </c>
      <c r="J92" s="15" t="inlineStr">
        <is>
          <t>12262099-Vapour Propane Torch - W</t>
        </is>
      </c>
      <c r="AF92" s="15" t="inlineStr">
        <is>
          <t>CM</t>
        </is>
      </c>
      <c r="AG92" s="15" t="n">
        <v>91</v>
      </c>
    </row>
    <row r="93" ht="28.8" customHeight="1">
      <c r="G93" s="41" t="inlineStr">
        <is>
          <t>Murphy, Sarah (5520)</t>
        </is>
      </c>
      <c r="J93" s="15" t="inlineStr">
        <is>
          <t>12262100-Vapour Propane Torch - M</t>
        </is>
      </c>
      <c r="AF93" s="15" t="inlineStr">
        <is>
          <t>CN</t>
        </is>
      </c>
      <c r="AG93" s="15" t="n">
        <v>92</v>
      </c>
    </row>
    <row r="94" ht="28.8" customHeight="1">
      <c r="G94" s="41" t="inlineStr">
        <is>
          <t>Neill, Graham (0019)</t>
        </is>
      </c>
      <c r="J94" s="15" t="inlineStr">
        <is>
          <t>12262103-Air Hose 3/4" x 50 FT - W</t>
        </is>
      </c>
      <c r="AF94" s="15" t="inlineStr">
        <is>
          <t>CO</t>
        </is>
      </c>
      <c r="AG94" s="15" t="n">
        <v>93</v>
      </c>
    </row>
    <row r="95" ht="28.8" customHeight="1">
      <c r="G95" s="41" t="inlineStr">
        <is>
          <t>Newcombe, Frederick (7646)</t>
        </is>
      </c>
      <c r="J95" s="15" t="inlineStr">
        <is>
          <t>12262104-Fabrication Bench - W</t>
        </is>
      </c>
      <c r="AF95" s="15" t="inlineStr">
        <is>
          <t>CP</t>
        </is>
      </c>
      <c r="AG95" s="15" t="n">
        <v>94</v>
      </c>
    </row>
    <row r="96" ht="28.8" customHeight="1">
      <c r="G96" s="41" t="inlineStr">
        <is>
          <t>Paquette, David (5317)</t>
        </is>
      </c>
      <c r="J96" s="15" t="inlineStr">
        <is>
          <t>12262105-Sea-Can - W</t>
        </is>
      </c>
      <c r="AF96" s="15" t="inlineStr">
        <is>
          <t>CQ</t>
        </is>
      </c>
      <c r="AG96" s="15" t="n">
        <v>95</v>
      </c>
    </row>
    <row r="97" ht="28.8" customHeight="1">
      <c r="G97" s="41" t="inlineStr">
        <is>
          <t>Paquette, Jean (2569)</t>
        </is>
      </c>
      <c r="J97" s="15" t="inlineStr">
        <is>
          <t>12262106-Air Horn - 3" Thru 8" - D</t>
        </is>
      </c>
      <c r="AF97" s="15" t="inlineStr">
        <is>
          <t>CR</t>
        </is>
      </c>
      <c r="AG97" s="15" t="n">
        <v>96</v>
      </c>
    </row>
    <row r="98" ht="28.8" customHeight="1">
      <c r="G98" s="41" t="inlineStr">
        <is>
          <t>Parizeau, Marc (1245)</t>
        </is>
      </c>
      <c r="J98" s="15" t="inlineStr">
        <is>
          <t>12262107-Air Horn - 3" Thru 8" - W</t>
        </is>
      </c>
      <c r="AF98" s="15" t="inlineStr">
        <is>
          <t>CS</t>
        </is>
      </c>
      <c r="AG98" s="15" t="n">
        <v>97</v>
      </c>
    </row>
    <row r="99">
      <c r="G99" s="41" t="inlineStr">
        <is>
          <t>Pawson, Jory (0785)</t>
        </is>
      </c>
      <c r="J99" s="15" t="inlineStr">
        <is>
          <t>12262108-Air Horn - 3" Thru 8" - M</t>
        </is>
      </c>
      <c r="AF99" s="15" t="inlineStr">
        <is>
          <t>CT</t>
        </is>
      </c>
      <c r="AG99" s="15" t="n">
        <v>98</v>
      </c>
    </row>
    <row r="100" ht="28.8" customHeight="1">
      <c r="G100" s="41" t="inlineStr">
        <is>
          <t>Pendlebury, Jay (7799)</t>
        </is>
      </c>
      <c r="J100" s="15" t="inlineStr">
        <is>
          <t>12262109-Fabrication Bench - M</t>
        </is>
      </c>
      <c r="AF100" s="15" t="inlineStr">
        <is>
          <t>CU</t>
        </is>
      </c>
      <c r="AG100" s="15" t="n">
        <v>99</v>
      </c>
    </row>
    <row r="101" ht="28.8" customHeight="1">
      <c r="G101" s="41" t="inlineStr">
        <is>
          <t>Poore, Jordan (5473)</t>
        </is>
      </c>
      <c r="J101" s="15" t="inlineStr">
        <is>
          <t>12262110-Compressor 375 CFM - D</t>
        </is>
      </c>
      <c r="AF101" s="15" t="inlineStr">
        <is>
          <t>CV</t>
        </is>
      </c>
      <c r="AG101" s="15" t="n">
        <v>100</v>
      </c>
    </row>
    <row r="102" ht="28.8" customHeight="1">
      <c r="G102" s="41" t="inlineStr">
        <is>
          <t>Powers, Dave (9528)</t>
        </is>
      </c>
      <c r="J102" s="15" t="inlineStr">
        <is>
          <t>12262111-Compressor 375 CFM - W</t>
        </is>
      </c>
      <c r="AF102" s="15" t="inlineStr">
        <is>
          <t>CW</t>
        </is>
      </c>
      <c r="AG102" s="15" t="n">
        <v>101</v>
      </c>
    </row>
    <row r="103" ht="28.8" customHeight="1">
      <c r="G103" s="41" t="inlineStr">
        <is>
          <t>Rankin, Adam (3277)</t>
        </is>
      </c>
      <c r="J103" s="15" t="inlineStr">
        <is>
          <t>12262112-Compressor 375 CFM - M</t>
        </is>
      </c>
      <c r="AF103" s="15" t="inlineStr">
        <is>
          <t>CX</t>
        </is>
      </c>
      <c r="AG103" s="15" t="n">
        <v>102</v>
      </c>
    </row>
    <row r="104">
      <c r="G104" s="41" t="inlineStr">
        <is>
          <t>Reid, Travis (7144)</t>
        </is>
      </c>
      <c r="J104" s="15" t="inlineStr">
        <is>
          <t>12262115-Manlift (60ft) - W</t>
        </is>
      </c>
      <c r="AF104" s="15" t="inlineStr">
        <is>
          <t>CY</t>
        </is>
      </c>
      <c r="AG104" s="15" t="n">
        <v>103</v>
      </c>
    </row>
    <row r="105">
      <c r="G105" s="41" t="inlineStr">
        <is>
          <t>Richard, Kate (5231)</t>
        </is>
      </c>
      <c r="J105" s="15" t="inlineStr">
        <is>
          <t>12262116-Manlift (60ft) - M</t>
        </is>
      </c>
      <c r="AF105" s="15" t="inlineStr">
        <is>
          <t>CZ</t>
        </is>
      </c>
      <c r="AG105" s="15" t="n">
        <v>104</v>
      </c>
    </row>
    <row r="106" ht="28.8" customHeight="1">
      <c r="G106" s="41" t="inlineStr">
        <is>
          <t>Robinson, Steven (8118)</t>
        </is>
      </c>
      <c r="J106" s="15" t="inlineStr">
        <is>
          <t>12262121-Compressor Air Dryer - 375 - D</t>
        </is>
      </c>
      <c r="AF106" s="15" t="inlineStr">
        <is>
          <t>DA</t>
        </is>
      </c>
      <c r="AG106" s="15" t="n">
        <v>105</v>
      </c>
    </row>
    <row r="107" ht="28.8" customHeight="1">
      <c r="G107" s="41" t="inlineStr">
        <is>
          <t>Ross, Jordan (2923)</t>
        </is>
      </c>
      <c r="J107" s="15" t="inlineStr">
        <is>
          <t>12262122-Compressor Air Dryer - 375 - W</t>
        </is>
      </c>
      <c r="AF107" s="15" t="inlineStr">
        <is>
          <t>DB</t>
        </is>
      </c>
      <c r="AG107" s="15" t="n">
        <v>106</v>
      </c>
    </row>
    <row r="108" ht="28.8" customHeight="1">
      <c r="G108" s="41" t="inlineStr">
        <is>
          <t>Ryan, Dylan (6525)</t>
        </is>
      </c>
      <c r="J108" s="15" t="inlineStr">
        <is>
          <t>12262123-Compressor Air Dryer - 375 - M</t>
        </is>
      </c>
      <c r="AF108" s="15" t="inlineStr">
        <is>
          <t>DC</t>
        </is>
      </c>
      <c r="AG108" s="15" t="n">
        <v>107</v>
      </c>
    </row>
    <row r="109" ht="28.8" customHeight="1">
      <c r="G109" s="41" t="inlineStr">
        <is>
          <t>Ryan, Wes (5000)</t>
        </is>
      </c>
      <c r="J109" s="15" t="inlineStr">
        <is>
          <t>12262124-Compressor Pig - 8 Outlets - D</t>
        </is>
      </c>
      <c r="AF109" s="15" t="inlineStr">
        <is>
          <t>DD</t>
        </is>
      </c>
      <c r="AG109" s="15" t="n">
        <v>108</v>
      </c>
    </row>
    <row r="110" ht="28.8" customHeight="1">
      <c r="G110" s="41" t="inlineStr">
        <is>
          <t>Sachs, Travis (5885)</t>
        </is>
      </c>
      <c r="J110" s="15" t="inlineStr">
        <is>
          <t>12262125-Welding Machine - Remote 100FT - W</t>
        </is>
      </c>
      <c r="AF110" s="15" t="inlineStr">
        <is>
          <t>DE</t>
        </is>
      </c>
      <c r="AG110" s="15" t="n">
        <v>109</v>
      </c>
    </row>
    <row r="111" ht="43.2" customHeight="1">
      <c r="G111" s="41" t="inlineStr">
        <is>
          <t>Salata, Nick (7350)</t>
        </is>
      </c>
      <c r="J111" s="15" t="inlineStr">
        <is>
          <t>12262126-Welding Machine - 300AMP Diesel/Trailer (Fuel Incl.) - W</t>
        </is>
      </c>
      <c r="AF111" s="15" t="inlineStr">
        <is>
          <t>DF</t>
        </is>
      </c>
      <c r="AG111" s="15" t="n">
        <v>110</v>
      </c>
    </row>
    <row r="112" ht="28.8" customHeight="1">
      <c r="G112" s="41" t="inlineStr">
        <is>
          <t>Santavy, Bradyn (6830)</t>
        </is>
      </c>
      <c r="J112" s="15" t="inlineStr">
        <is>
          <t>12262127-Compressor Pig - 8 Outlets - W</t>
        </is>
      </c>
      <c r="AF112" s="15" t="inlineStr">
        <is>
          <t>DG</t>
        </is>
      </c>
      <c r="AG112" s="15" t="n">
        <v>111</v>
      </c>
    </row>
    <row r="113" ht="43.2" customHeight="1">
      <c r="G113" s="41" t="inlineStr">
        <is>
          <t>Schouten, Casey (8627)</t>
        </is>
      </c>
      <c r="J113" s="15" t="inlineStr">
        <is>
          <t>12262128-Welding Machine - 500AMP Diesel/Trailer (Fuel Incl.) - W</t>
        </is>
      </c>
      <c r="AF113" s="15" t="inlineStr">
        <is>
          <t>DH</t>
        </is>
      </c>
      <c r="AG113" s="15" t="n">
        <v>112</v>
      </c>
    </row>
    <row r="114" ht="28.8" customHeight="1">
      <c r="G114" s="41" t="inlineStr">
        <is>
          <t>Shepherd, Richard (1990)</t>
        </is>
      </c>
      <c r="J114" s="15" t="inlineStr">
        <is>
          <t>12262129-Compressor Pig - 8 Outlets - M</t>
        </is>
      </c>
      <c r="AF114" s="15" t="inlineStr">
        <is>
          <t>DI</t>
        </is>
      </c>
      <c r="AG114" s="15" t="n">
        <v>113</v>
      </c>
    </row>
    <row r="115">
      <c r="G115" s="41" t="inlineStr">
        <is>
          <t>Shoniker, Pat (0271)</t>
        </is>
      </c>
      <c r="J115" s="15" t="inlineStr">
        <is>
          <t>12262130-Air Hose 3/4" x 50 FT - D</t>
        </is>
      </c>
      <c r="AF115" s="15" t="inlineStr">
        <is>
          <t>DJ</t>
        </is>
      </c>
      <c r="AG115" s="15" t="n">
        <v>114</v>
      </c>
    </row>
    <row r="116" ht="28.8" customHeight="1">
      <c r="G116" s="41" t="inlineStr">
        <is>
          <t>Siklosi, Benson (7663)</t>
        </is>
      </c>
      <c r="J116" s="15" t="inlineStr">
        <is>
          <t>12262131-Air Hose 3/4" x 50 FT - M</t>
        </is>
      </c>
      <c r="AF116" s="15" t="inlineStr">
        <is>
          <t>DK</t>
        </is>
      </c>
      <c r="AG116" s="15" t="n">
        <v>115</v>
      </c>
    </row>
    <row r="117">
      <c r="G117" s="41" t="inlineStr">
        <is>
          <t>Silvestre, Joe (3451)</t>
        </is>
      </c>
      <c r="J117" s="15" t="inlineStr">
        <is>
          <t>12262132-Air Hose 2" x 25 FT - D</t>
        </is>
      </c>
      <c r="AF117" s="15" t="inlineStr">
        <is>
          <t>DL</t>
        </is>
      </c>
      <c r="AG117" s="15" t="n">
        <v>116</v>
      </c>
    </row>
    <row r="118" ht="28.8" customHeight="1">
      <c r="G118" s="41" t="inlineStr">
        <is>
          <t>Smith, William (2807)</t>
        </is>
      </c>
      <c r="J118" s="15" t="inlineStr">
        <is>
          <t>12262133-Air Hose 2" x 25 FT - W</t>
        </is>
      </c>
      <c r="AF118" s="15" t="inlineStr">
        <is>
          <t>DM</t>
        </is>
      </c>
      <c r="AG118" s="15" t="n">
        <v>117</v>
      </c>
    </row>
    <row r="119" ht="28.8" customHeight="1">
      <c r="G119" s="41" t="inlineStr">
        <is>
          <t>Stelpstra, Jordan (9568)</t>
        </is>
      </c>
      <c r="J119" s="15" t="inlineStr">
        <is>
          <t>12262134-Air Hose 2" x 25 FT - M</t>
        </is>
      </c>
      <c r="AF119" s="15" t="inlineStr">
        <is>
          <t>DN</t>
        </is>
      </c>
      <c r="AG119" s="15" t="n">
        <v>118</v>
      </c>
    </row>
    <row r="120" ht="28.8" customHeight="1">
      <c r="G120" s="41" t="inlineStr">
        <is>
          <t>Sylvain, Phillip (8177)</t>
        </is>
      </c>
      <c r="J120" s="15" t="inlineStr">
        <is>
          <t>12262135-Oxy/Acetylene Cuttting Outfit - D</t>
        </is>
      </c>
      <c r="AF120" s="15" t="inlineStr">
        <is>
          <t>DO</t>
        </is>
      </c>
      <c r="AG120" s="15" t="n">
        <v>119</v>
      </c>
    </row>
    <row r="121" ht="28.8" customHeight="1">
      <c r="G121" s="41" t="inlineStr">
        <is>
          <t>Taylor, Adam (4183)</t>
        </is>
      </c>
      <c r="J121" s="15" t="inlineStr">
        <is>
          <t>12262136-Flange Spreader - 10,000 LB - D</t>
        </is>
      </c>
      <c r="AF121" s="15" t="inlineStr">
        <is>
          <t>DP</t>
        </is>
      </c>
      <c r="AG121" s="15" t="n">
        <v>120</v>
      </c>
    </row>
    <row r="122" ht="28.8" customHeight="1">
      <c r="G122" s="41" t="inlineStr">
        <is>
          <t>Taylor, Josh (2422)</t>
        </is>
      </c>
      <c r="J122" s="15" t="inlineStr">
        <is>
          <t>12262137-Flange Spreader - 25,000 LB - D</t>
        </is>
      </c>
      <c r="AF122" s="15" t="inlineStr">
        <is>
          <t>DQ</t>
        </is>
      </c>
      <c r="AG122" s="15" t="n">
        <v>121</v>
      </c>
    </row>
    <row r="123" ht="28.8" customHeight="1">
      <c r="G123" s="41" t="inlineStr">
        <is>
          <t>Tombs, Erin (3728)</t>
        </is>
      </c>
      <c r="J123" s="15" t="inlineStr">
        <is>
          <t>12262138-Flange Spreader - 25,000 LB - W</t>
        </is>
      </c>
      <c r="AF123" s="15" t="inlineStr">
        <is>
          <t>DR</t>
        </is>
      </c>
      <c r="AG123" s="15" t="n">
        <v>122</v>
      </c>
    </row>
    <row r="124" ht="28.8" customHeight="1">
      <c r="G124" s="41" t="inlineStr">
        <is>
          <t>Toms, Kevin (0743)</t>
        </is>
      </c>
      <c r="J124" s="15" t="inlineStr">
        <is>
          <t>12262139-Flange Spreader - 25,000 LB - M</t>
        </is>
      </c>
      <c r="AF124" s="15" t="inlineStr">
        <is>
          <t>DS</t>
        </is>
      </c>
      <c r="AG124" s="15" t="n">
        <v>123</v>
      </c>
    </row>
    <row r="125" ht="28.8" customHeight="1">
      <c r="G125" s="41" t="inlineStr">
        <is>
          <t>Towstiuc, Jordan (0021)</t>
        </is>
      </c>
      <c r="J125" s="15" t="inlineStr">
        <is>
          <t>12262140-Generator 25KW Diesel (Fuel Incl) - D</t>
        </is>
      </c>
      <c r="AF125" s="15" t="inlineStr">
        <is>
          <t>DT</t>
        </is>
      </c>
      <c r="AG125" s="15" t="n">
        <v>124</v>
      </c>
    </row>
    <row r="126" ht="28.8" customHeight="1">
      <c r="G126" s="41" t="inlineStr">
        <is>
          <t>Trenouth, Cory (4469)</t>
        </is>
      </c>
      <c r="J126" s="15" t="inlineStr">
        <is>
          <t>12262141-Generator 25KW Diesel (Fuel Incl) - W</t>
        </is>
      </c>
      <c r="AF126" s="15" t="inlineStr">
        <is>
          <t>DU</t>
        </is>
      </c>
      <c r="AG126" s="15" t="n">
        <v>125</v>
      </c>
    </row>
    <row r="127" ht="28.8" customHeight="1">
      <c r="G127" s="41" t="inlineStr">
        <is>
          <t>Valiquette, Mark (4487)</t>
        </is>
      </c>
      <c r="J127" s="15" t="inlineStr">
        <is>
          <t>12262142-Generator 25KW Diesel (Fuel Incl) - M</t>
        </is>
      </c>
      <c r="AF127" s="15" t="inlineStr">
        <is>
          <t>DV</t>
        </is>
      </c>
      <c r="AG127" s="15" t="n">
        <v>126</v>
      </c>
    </row>
    <row r="128" ht="28.8" customHeight="1">
      <c r="G128" s="41" t="inlineStr">
        <is>
          <t>Vanos, Kenneth (1113)</t>
        </is>
      </c>
      <c r="J128" s="15" t="inlineStr">
        <is>
          <t>12262143-Generator 125KW Diesel (Fuel Incl) - D</t>
        </is>
      </c>
      <c r="AF128" s="15" t="inlineStr">
        <is>
          <t>DW</t>
        </is>
      </c>
      <c r="AG128" s="15" t="n">
        <v>127</v>
      </c>
    </row>
    <row r="129" ht="28.8" customHeight="1">
      <c r="G129" s="41" t="inlineStr">
        <is>
          <t>Veenendaal, Tyler (0104)</t>
        </is>
      </c>
      <c r="J129" s="15" t="inlineStr">
        <is>
          <t>12262144-Generator 125KW Diesel (Fuel Incl) - W</t>
        </is>
      </c>
      <c r="AF129" s="15" t="inlineStr">
        <is>
          <t>DX</t>
        </is>
      </c>
      <c r="AG129" s="15" t="n">
        <v>128</v>
      </c>
    </row>
    <row r="130" ht="28.8" customHeight="1">
      <c r="G130" s="41" t="inlineStr">
        <is>
          <t>Walters, Julie (0223)</t>
        </is>
      </c>
      <c r="J130" s="15" t="inlineStr">
        <is>
          <t>12262145-Generator 125KW Diesel (Fuel Incl) - M</t>
        </is>
      </c>
      <c r="AF130" s="15" t="inlineStr">
        <is>
          <t>DY</t>
        </is>
      </c>
      <c r="AG130" s="15" t="n">
        <v>129</v>
      </c>
    </row>
    <row r="131" ht="28.8" customHeight="1">
      <c r="G131" s="41" t="inlineStr">
        <is>
          <t>Wasson, Cody (2361)</t>
        </is>
      </c>
      <c r="J131" s="15" t="inlineStr">
        <is>
          <t>12262147-Generator 185KW Diesel (Fuel Incl) - W</t>
        </is>
      </c>
      <c r="AF131" s="15" t="inlineStr">
        <is>
          <t>DZ</t>
        </is>
      </c>
      <c r="AG131" s="15" t="n">
        <v>130</v>
      </c>
    </row>
    <row r="132" ht="28.8" customHeight="1">
      <c r="G132" s="41" t="inlineStr">
        <is>
          <t>Wasson, Ron (9588)</t>
        </is>
      </c>
      <c r="J132" s="15" t="inlineStr">
        <is>
          <t>12262148-Generator 185KW Diesel (Fuel Incl) - M</t>
        </is>
      </c>
      <c r="AF132" s="15" t="inlineStr">
        <is>
          <t>EA</t>
        </is>
      </c>
      <c r="AG132" s="15" t="n">
        <v>131</v>
      </c>
    </row>
    <row r="133" ht="28.8" customHeight="1">
      <c r="G133" s="41" t="inlineStr">
        <is>
          <t>Watts, Hudson (4719)</t>
        </is>
      </c>
      <c r="J133" s="15" t="inlineStr">
        <is>
          <t>12262150-Generator 350KW Diesel (Fuel Incl) - W</t>
        </is>
      </c>
      <c r="AF133" s="15" t="inlineStr">
        <is>
          <t>EB</t>
        </is>
      </c>
      <c r="AG133" s="15" t="n">
        <v>132</v>
      </c>
    </row>
    <row r="134" ht="28.8" customHeight="1">
      <c r="G134" s="41" t="inlineStr">
        <is>
          <t>Westgate, Edward (7175)</t>
        </is>
      </c>
      <c r="J134" s="15" t="inlineStr">
        <is>
          <t>12262151-Generator 350KW Diesel (Fuel Incl) - M</t>
        </is>
      </c>
      <c r="AF134" s="15" t="inlineStr">
        <is>
          <t>EC</t>
        </is>
      </c>
      <c r="AG134" s="15" t="n">
        <v>133</v>
      </c>
    </row>
    <row r="135" ht="28.8" customHeight="1">
      <c r="G135" s="41" t="inlineStr">
        <is>
          <t>White, Justin (2956)</t>
        </is>
      </c>
      <c r="J135" s="15" t="inlineStr">
        <is>
          <t>12262152-Hammer Drill - SDS Plus - W</t>
        </is>
      </c>
      <c r="AF135" s="15" t="inlineStr">
        <is>
          <t>ED</t>
        </is>
      </c>
      <c r="AG135" s="15" t="n">
        <v>134</v>
      </c>
    </row>
    <row r="136" ht="28.8" customHeight="1">
      <c r="G136" s="41" t="inlineStr">
        <is>
          <t>Wiles, Tim (2022)</t>
        </is>
      </c>
      <c r="J136" s="15" t="inlineStr">
        <is>
          <t>12262153-Hammer Drill - SDS Plus - M</t>
        </is>
      </c>
      <c r="AF136" s="15" t="inlineStr">
        <is>
          <t>EE</t>
        </is>
      </c>
      <c r="AG136" s="15" t="n">
        <v>135</v>
      </c>
    </row>
    <row r="137" ht="28.8" customHeight="1">
      <c r="G137" s="41" t="inlineStr">
        <is>
          <t>Wilson, Justin (1053)</t>
        </is>
      </c>
      <c r="J137" s="15" t="inlineStr">
        <is>
          <t>12262154-Hammer Drill - SDS Max - D</t>
        </is>
      </c>
      <c r="AF137" s="15" t="inlineStr">
        <is>
          <t>EF</t>
        </is>
      </c>
      <c r="AG137" s="15" t="n">
        <v>136</v>
      </c>
    </row>
    <row r="138" ht="28.8" customHeight="1">
      <c r="G138" s="41" t="inlineStr">
        <is>
          <t>Wilson, Matt (6945)</t>
        </is>
      </c>
      <c r="J138" s="15" t="inlineStr">
        <is>
          <t>12262155-Hammer Drill - SDS Max - W</t>
        </is>
      </c>
      <c r="AF138" s="15" t="inlineStr">
        <is>
          <t>EG</t>
        </is>
      </c>
      <c r="AG138" s="15" t="n">
        <v>137</v>
      </c>
    </row>
    <row r="139" ht="28.8" customHeight="1">
      <c r="G139" s="41" t="inlineStr">
        <is>
          <t>Zimoch-Powers, Dale (9676)</t>
        </is>
      </c>
      <c r="J139" s="15" t="inlineStr">
        <is>
          <t>12262156-Hammer Drill - SDS Max - M</t>
        </is>
      </c>
      <c r="AF139" s="15" t="inlineStr">
        <is>
          <t>EH</t>
        </is>
      </c>
      <c r="AG139" s="15" t="n">
        <v>138</v>
      </c>
    </row>
    <row r="140" ht="28.8" customHeight="1">
      <c r="G140" s="41" t="n"/>
      <c r="J140" s="15" t="inlineStr">
        <is>
          <t>12262157-Impact Sockets - 1" DR x 2-3/8" Thru 3" - D</t>
        </is>
      </c>
      <c r="AF140" s="15" t="inlineStr">
        <is>
          <t>EI</t>
        </is>
      </c>
      <c r="AG140" s="15" t="n">
        <v>139</v>
      </c>
    </row>
    <row r="141" ht="28.8" customHeight="1">
      <c r="G141" s="41" t="n"/>
      <c r="J141" s="15" t="inlineStr">
        <is>
          <t>12262158-Impact Sockets - 1" DR x 2-3/8" Thru 3" - W</t>
        </is>
      </c>
      <c r="AF141" s="15" t="inlineStr">
        <is>
          <t>EJ</t>
        </is>
      </c>
      <c r="AG141" s="15" t="n">
        <v>140</v>
      </c>
    </row>
    <row r="142" ht="28.8" customHeight="1">
      <c r="G142" s="41" t="n"/>
      <c r="J142" s="15" t="inlineStr">
        <is>
          <t>12262159-Impact Sockets - 1" DR x 2-3/8" Thru 3" - M</t>
        </is>
      </c>
      <c r="AF142" s="15" t="inlineStr">
        <is>
          <t>EK</t>
        </is>
      </c>
      <c r="AG142" s="15" t="n">
        <v>141</v>
      </c>
    </row>
    <row r="143" ht="28.8" customHeight="1">
      <c r="G143" s="41" t="n"/>
      <c r="J143" s="15" t="inlineStr">
        <is>
          <t>12262160-Impact Sockets - 1-1/2" DR x 2-3/8" Thru 3-1/2" - D</t>
        </is>
      </c>
      <c r="AF143" s="15" t="inlineStr">
        <is>
          <t>EL</t>
        </is>
      </c>
      <c r="AG143" s="15" t="n">
        <v>142</v>
      </c>
    </row>
    <row r="144" ht="28.8" customHeight="1">
      <c r="G144" s="41" t="n"/>
      <c r="J144" s="15" t="inlineStr">
        <is>
          <t>12262161-Impact Sockets - 1-1/2" DR x 2-3/8" Thru 3-1/2" - W</t>
        </is>
      </c>
      <c r="AF144" s="15" t="inlineStr">
        <is>
          <t>EM</t>
        </is>
      </c>
      <c r="AG144" s="15" t="n">
        <v>143</v>
      </c>
    </row>
    <row r="145" ht="28.8" customHeight="1">
      <c r="G145" s="41" t="n"/>
      <c r="J145" s="15" t="inlineStr">
        <is>
          <t>12262162-Impact Sockets - 1-1/2" DR x 2-3/8" Thru 3-1/2" - M</t>
        </is>
      </c>
      <c r="AF145" s="15" t="inlineStr">
        <is>
          <t>EN</t>
        </is>
      </c>
      <c r="AG145" s="15" t="n">
        <v>144</v>
      </c>
    </row>
    <row r="146">
      <c r="G146" s="41" t="n"/>
      <c r="J146" s="15" t="inlineStr">
        <is>
          <t>12262163-Jobox - D</t>
        </is>
      </c>
      <c r="AF146" s="15" t="inlineStr">
        <is>
          <t>EO</t>
        </is>
      </c>
      <c r="AG146" s="15" t="n">
        <v>145</v>
      </c>
    </row>
    <row r="147">
      <c r="G147" s="41" t="n"/>
      <c r="J147" s="15" t="inlineStr">
        <is>
          <t>12262164-Light - 3FT LED - W</t>
        </is>
      </c>
      <c r="AF147" s="15" t="inlineStr">
        <is>
          <t>EP</t>
        </is>
      </c>
      <c r="AG147" s="15" t="n">
        <v>146</v>
      </c>
    </row>
    <row r="148">
      <c r="G148" s="41" t="n"/>
      <c r="J148" s="15" t="inlineStr">
        <is>
          <t>12262165-Light - 3FT LED - M</t>
        </is>
      </c>
      <c r="AF148" s="15" t="inlineStr">
        <is>
          <t>EQ</t>
        </is>
      </c>
      <c r="AG148" s="15" t="n">
        <v>147</v>
      </c>
    </row>
    <row r="149">
      <c r="G149" s="41" t="n"/>
      <c r="J149" s="15" t="inlineStr">
        <is>
          <t>12262166-Light Tower - Diesel - D</t>
        </is>
      </c>
      <c r="AF149" s="15" t="inlineStr">
        <is>
          <t>ER</t>
        </is>
      </c>
      <c r="AG149" s="15" t="n">
        <v>148</v>
      </c>
    </row>
    <row r="150">
      <c r="G150" s="41" t="n"/>
      <c r="J150" s="15" t="inlineStr">
        <is>
          <t>12262167-Light Tower - Diesel - W</t>
        </is>
      </c>
      <c r="AF150" s="15" t="inlineStr">
        <is>
          <t>ES</t>
        </is>
      </c>
      <c r="AG150" s="15" t="n">
        <v>149</v>
      </c>
    </row>
    <row r="151">
      <c r="G151" s="41" t="n"/>
      <c r="J151" s="15" t="inlineStr">
        <is>
          <t>12262168-Light Tower - Diesel - M</t>
        </is>
      </c>
      <c r="AF151" s="15" t="inlineStr">
        <is>
          <t>ET</t>
        </is>
      </c>
      <c r="AG151" s="15" t="n">
        <v>150</v>
      </c>
    </row>
    <row r="152" ht="28.8" customHeight="1">
      <c r="G152" s="41" t="n"/>
      <c r="J152" s="15" t="inlineStr">
        <is>
          <t>12262169-Light - Wobble 85 Watt - D</t>
        </is>
      </c>
      <c r="AF152" s="15" t="inlineStr">
        <is>
          <t>EU</t>
        </is>
      </c>
      <c r="AG152" s="15" t="n">
        <v>151</v>
      </c>
    </row>
    <row r="153" ht="28.8" customHeight="1">
      <c r="G153" s="41" t="n"/>
      <c r="J153" s="15" t="inlineStr">
        <is>
          <t>12262170-Light - Wobble 85 Watt - W</t>
        </is>
      </c>
      <c r="AF153" s="15" t="inlineStr">
        <is>
          <t>EV</t>
        </is>
      </c>
      <c r="AG153" s="15" t="n">
        <v>152</v>
      </c>
    </row>
    <row r="154" ht="28.8" customHeight="1">
      <c r="G154" s="41" t="n"/>
      <c r="J154" s="15" t="inlineStr">
        <is>
          <t>12262171-Light - Wobble 85 Watt - M</t>
        </is>
      </c>
      <c r="AF154" s="15" t="inlineStr">
        <is>
          <t>EW</t>
        </is>
      </c>
      <c r="AG154" s="15" t="n">
        <v>153</v>
      </c>
    </row>
    <row r="155" ht="28.8" customHeight="1">
      <c r="G155" s="41" t="n"/>
      <c r="J155" s="15" t="inlineStr">
        <is>
          <t>12262172-Pipe Beveller - 1-1/2" Thru 12" - D</t>
        </is>
      </c>
      <c r="AF155" s="15" t="inlineStr">
        <is>
          <t>EX</t>
        </is>
      </c>
      <c r="AG155" s="15" t="n">
        <v>154</v>
      </c>
    </row>
    <row r="156" ht="28.8" customHeight="1">
      <c r="G156" s="41" t="n"/>
      <c r="J156" s="15" t="inlineStr">
        <is>
          <t>12262173-Pipe Beveller - 1-1/2" Thru 12" - W</t>
        </is>
      </c>
      <c r="AF156" s="15" t="inlineStr">
        <is>
          <t>EY</t>
        </is>
      </c>
      <c r="AG156" s="15" t="n">
        <v>155</v>
      </c>
    </row>
    <row r="157" ht="28.8" customHeight="1">
      <c r="G157" s="41" t="n"/>
      <c r="J157" s="15" t="inlineStr">
        <is>
          <t>12262174-Pipe Beveller - 1-1/2" Thru 12" - M</t>
        </is>
      </c>
      <c r="AF157" s="15" t="inlineStr">
        <is>
          <t>EZ</t>
        </is>
      </c>
      <c r="AG157" s="15" t="n">
        <v>156</v>
      </c>
    </row>
    <row r="158" ht="28.8" customHeight="1">
      <c r="G158" s="41" t="n"/>
      <c r="J158" s="15" t="inlineStr">
        <is>
          <t>12262175-Pipe Beveller - 12" Thru 20" - D</t>
        </is>
      </c>
    </row>
    <row r="159" ht="28.8" customHeight="1">
      <c r="G159" s="41" t="n"/>
      <c r="J159" s="15" t="inlineStr">
        <is>
          <t>12262176-Pipe Beveller - 12" Thru 20" - W</t>
        </is>
      </c>
    </row>
    <row r="160" ht="28.8" customHeight="1">
      <c r="G160" s="41" t="n"/>
      <c r="J160" s="15" t="inlineStr">
        <is>
          <t>12262177-Pipe Beveller - 12" Thru 20" - M</t>
        </is>
      </c>
    </row>
    <row r="161" ht="28.8" customHeight="1">
      <c r="G161" s="41" t="n"/>
      <c r="J161" s="15" t="inlineStr">
        <is>
          <t>12262178-Pipe Positioner - 3000LB - D</t>
        </is>
      </c>
    </row>
    <row r="162" ht="28.8" customHeight="1">
      <c r="G162" s="41" t="n"/>
      <c r="J162" s="15" t="inlineStr">
        <is>
          <t>12262179-Pipe Positioner - 3000LB - W</t>
        </is>
      </c>
    </row>
    <row r="163" ht="28.8" customHeight="1">
      <c r="G163" s="41" t="n"/>
      <c r="J163" s="15" t="inlineStr">
        <is>
          <t>12262180-Pipe Positioner - 3000LB - M</t>
        </is>
      </c>
    </row>
    <row r="164">
      <c r="G164" s="41" t="n"/>
      <c r="J164" s="15" t="inlineStr">
        <is>
          <t>12262181-Pipe Stand - D</t>
        </is>
      </c>
    </row>
    <row r="165">
      <c r="G165" s="41" t="n"/>
      <c r="J165" s="15" t="inlineStr">
        <is>
          <t>12262182-Portaband Saw - D</t>
        </is>
      </c>
    </row>
    <row r="166" ht="28.8" customHeight="1">
      <c r="G166" s="41" t="n"/>
      <c r="J166" s="15" t="inlineStr">
        <is>
          <t>12262183-Porta Pump - Up to 460 Cu In - D</t>
        </is>
      </c>
    </row>
    <row r="167" ht="28.8" customHeight="1">
      <c r="G167" s="41" t="n"/>
      <c r="J167" s="15" t="inlineStr">
        <is>
          <t>12262184-Porta Pump - Up to 460 Cu In - M</t>
        </is>
      </c>
    </row>
    <row r="168" ht="28.8" customHeight="1">
      <c r="G168" s="41" t="n"/>
      <c r="J168" s="15" t="inlineStr">
        <is>
          <t>12262185-Porta Pump - Ram Duck Bill - D</t>
        </is>
      </c>
    </row>
    <row r="169" ht="28.8" customHeight="1">
      <c r="G169" s="41" t="n"/>
      <c r="J169" s="15" t="inlineStr">
        <is>
          <t>12262186-Porta Pump - Ram Duck Bill - M</t>
        </is>
      </c>
    </row>
    <row r="170" ht="28.8" customHeight="1">
      <c r="G170" s="41" t="n"/>
      <c r="J170" s="15" t="inlineStr">
        <is>
          <t>12262187-Porta Pump - Ram 20-30 Ton - D</t>
        </is>
      </c>
    </row>
    <row r="171" ht="28.8" customHeight="1">
      <c r="G171" s="41" t="n"/>
      <c r="J171" s="15" t="inlineStr">
        <is>
          <t>12262188-Porta Pump - Ram 20-30 Ton - M</t>
        </is>
      </c>
    </row>
    <row r="172">
      <c r="G172" s="41" t="n"/>
      <c r="J172" s="15" t="inlineStr">
        <is>
          <t>12262189-Radios - D</t>
        </is>
      </c>
    </row>
    <row r="173">
      <c r="G173" s="41" t="n"/>
      <c r="J173" s="15" t="inlineStr">
        <is>
          <t>12262190-350 lb Rod Oven - D</t>
        </is>
      </c>
    </row>
    <row r="174">
      <c r="G174" s="41" t="n"/>
      <c r="J174" s="15" t="inlineStr">
        <is>
          <t>12262191-Saw - TigAir - W</t>
        </is>
      </c>
    </row>
    <row r="175">
      <c r="G175" s="41" t="n"/>
      <c r="J175" s="15" t="inlineStr">
        <is>
          <t>12262192-Saw - TigAir - M</t>
        </is>
      </c>
    </row>
    <row r="176">
      <c r="G176" s="41" t="n"/>
      <c r="J176" s="15" t="inlineStr">
        <is>
          <t>12262193-Saw - Fein Air - W</t>
        </is>
      </c>
    </row>
    <row r="177">
      <c r="G177" s="41" t="n"/>
      <c r="J177" s="15" t="inlineStr">
        <is>
          <t>12262194-Saw - Fein Air - M</t>
        </is>
      </c>
    </row>
    <row r="178" ht="28.8" customHeight="1">
      <c r="G178" s="41" t="n"/>
      <c r="J178" s="15" t="inlineStr">
        <is>
          <t>12262195-Saw - Fein Air Saw Clamp - D</t>
        </is>
      </c>
    </row>
    <row r="179" ht="28.8" customHeight="1">
      <c r="G179" s="41" t="n"/>
      <c r="J179" s="15" t="inlineStr">
        <is>
          <t>12262196-Saw - Fein Air Saw Clamp - W</t>
        </is>
      </c>
    </row>
    <row r="180" ht="28.8" customHeight="1">
      <c r="G180" s="41" t="n"/>
      <c r="J180" s="15" t="inlineStr">
        <is>
          <t>12262197-Saw - Fein Air Saw Clamp - M</t>
        </is>
      </c>
    </row>
    <row r="181">
      <c r="G181" s="41" t="n"/>
      <c r="J181" s="15" t="inlineStr">
        <is>
          <t>12262198-Sea-Can - D</t>
        </is>
      </c>
    </row>
    <row r="182" ht="28.8" customHeight="1">
      <c r="G182" s="41" t="n"/>
      <c r="J182" s="15" t="inlineStr">
        <is>
          <t>12262199-Smoke Extractor - Suitcase - D</t>
        </is>
      </c>
    </row>
    <row r="183" ht="28.8" customHeight="1">
      <c r="G183" s="41" t="n"/>
      <c r="J183" s="15" t="inlineStr">
        <is>
          <t>12262200-Smoke Extractor - Suitcase - W</t>
        </is>
      </c>
    </row>
    <row r="184" ht="28.8" customHeight="1">
      <c r="G184" s="41" t="n"/>
      <c r="J184" s="15" t="inlineStr">
        <is>
          <t>12262201-Smoke Extractor - Suitcase - M</t>
        </is>
      </c>
    </row>
    <row r="185" ht="28.8" customHeight="1">
      <c r="G185" s="41" t="n"/>
      <c r="J185" s="15" t="inlineStr">
        <is>
          <t>12262202-Smoke Extractor - Large - D</t>
        </is>
      </c>
    </row>
    <row r="186" ht="28.8" customHeight="1">
      <c r="G186" s="41" t="n"/>
      <c r="J186" s="15" t="inlineStr">
        <is>
          <t>12262203-Smoke Extractor - Large - W</t>
        </is>
      </c>
    </row>
    <row r="187" ht="28.8" customHeight="1">
      <c r="G187" s="41" t="n"/>
      <c r="J187" s="15" t="inlineStr">
        <is>
          <t>12262204-Smoke Extractor - Large - M</t>
        </is>
      </c>
    </row>
    <row r="188" ht="28.8" customHeight="1">
      <c r="G188" s="41" t="n"/>
      <c r="J188" s="15" t="inlineStr">
        <is>
          <t>12262205-Test Pump - Jerry Can 10,000PSI (Manual) - D</t>
        </is>
      </c>
    </row>
    <row r="189" ht="28.8" customHeight="1">
      <c r="G189" s="41" t="n"/>
      <c r="J189" s="15" t="inlineStr">
        <is>
          <t>12262206-Test Pump - Jerry Can 10,000PSI (Manual) - W</t>
        </is>
      </c>
    </row>
    <row r="190" ht="28.8" customHeight="1">
      <c r="G190" s="41" t="n"/>
      <c r="J190" s="15" t="inlineStr">
        <is>
          <t>12262207-Test Pump - Jerry Can 10,000PSI (Manual) - M</t>
        </is>
      </c>
    </row>
    <row r="191" ht="28.8" customHeight="1">
      <c r="G191" s="41" t="n"/>
      <c r="J191" s="15" t="inlineStr">
        <is>
          <t>12262208-Test Pump - Hydrostatic (Air) 10,000PSI (Pneumatic) - D</t>
        </is>
      </c>
    </row>
    <row r="192" ht="28.8" customHeight="1">
      <c r="G192" s="41" t="n"/>
      <c r="J192" s="15" t="inlineStr">
        <is>
          <t>12262209-Test Pump - Hydrostatic (Air) 10,000PSI (Pneumatic) - W</t>
        </is>
      </c>
    </row>
    <row r="193" ht="28.8" customHeight="1">
      <c r="G193" s="41" t="n"/>
      <c r="J193" s="15" t="inlineStr">
        <is>
          <t>12262210-Test Pump - Hydrostatic (Air) 10,000PSI (Pneumatic) - M</t>
        </is>
      </c>
    </row>
    <row r="194" ht="28.8" customHeight="1">
      <c r="G194" s="41" t="n"/>
      <c r="J194" s="15" t="inlineStr">
        <is>
          <t>12262211-Test Pump - Hydrostatic (Gas) - D</t>
        </is>
      </c>
    </row>
    <row r="195" ht="28.8" customHeight="1">
      <c r="G195" s="41" t="n"/>
      <c r="J195" s="15" t="inlineStr">
        <is>
          <t>12262212-Test Pump - Hydrostatic (Gas) - W</t>
        </is>
      </c>
    </row>
    <row r="196" ht="28.8" customHeight="1">
      <c r="G196" s="41" t="n"/>
      <c r="J196" s="15" t="inlineStr">
        <is>
          <t>12262213-Test Pump - Hydrostatic (Gas) - M</t>
        </is>
      </c>
    </row>
    <row r="197" ht="28.8" customHeight="1">
      <c r="G197" s="41" t="n"/>
      <c r="J197" s="15" t="inlineStr">
        <is>
          <t>12262214-Vapour Propane Torch - D</t>
        </is>
      </c>
    </row>
    <row r="198" ht="28.8" customHeight="1">
      <c r="G198" s="41" t="n"/>
      <c r="J198" s="15" t="inlineStr">
        <is>
          <t>12262215-535 Threader - Dies 1/2" Thru 2" - D</t>
        </is>
      </c>
    </row>
    <row r="199" ht="28.8" customHeight="1">
      <c r="G199" s="41" t="n"/>
      <c r="J199" s="15" t="inlineStr">
        <is>
          <t>12262216-535 Threader - Dies 1/2" Thru 2" - W</t>
        </is>
      </c>
    </row>
    <row r="200" ht="28.8" customHeight="1">
      <c r="G200" s="41" t="n"/>
      <c r="J200" s="15" t="inlineStr">
        <is>
          <t>12262217-535 Threader - Dies 1/2" Thru 2" - M</t>
        </is>
      </c>
    </row>
    <row r="201" ht="28.8" customHeight="1">
      <c r="G201" s="41" t="n"/>
      <c r="J201" s="15" t="inlineStr">
        <is>
          <t>12262218-Torque Gun-3/4" Air/Cordless - D</t>
        </is>
      </c>
    </row>
    <row r="202" ht="28.8" customHeight="1">
      <c r="G202" s="41" t="n"/>
      <c r="J202" s="15" t="inlineStr">
        <is>
          <t>12262219-Torque Gun-3/4" Air/Cordless - W</t>
        </is>
      </c>
    </row>
    <row r="203" ht="28.8" customHeight="1">
      <c r="G203" s="41" t="n"/>
      <c r="J203" s="15" t="inlineStr">
        <is>
          <t>12262220-Torque Gun-3/4" Air/Cordless - M</t>
        </is>
      </c>
    </row>
    <row r="204" ht="28.8" customHeight="1">
      <c r="G204" s="41" t="n"/>
      <c r="J204" s="15" t="inlineStr">
        <is>
          <t>12262221-Torque Gun - 1" Air/Cordless - D</t>
        </is>
      </c>
    </row>
    <row r="205" ht="28.8" customHeight="1">
      <c r="G205" s="41" t="n"/>
      <c r="J205" s="15" t="inlineStr">
        <is>
          <t>12262222-Torque Gun - 1" Air/Cordless - W</t>
        </is>
      </c>
    </row>
    <row r="206" ht="28.8" customHeight="1">
      <c r="G206" s="41" t="n"/>
      <c r="J206" s="15" t="inlineStr">
        <is>
          <t>12262223-Torque Gun - 1" Air/Cordless - M</t>
        </is>
      </c>
    </row>
    <row r="207" ht="28.8" customHeight="1">
      <c r="G207" s="41" t="n"/>
      <c r="J207" s="15" t="inlineStr">
        <is>
          <t>12262224-Regulator - Air Pressure - M</t>
        </is>
      </c>
    </row>
    <row r="208">
      <c r="G208" s="41" t="n"/>
      <c r="J208" s="15" t="inlineStr">
        <is>
          <t>12262225-1/2" Torque Wrench - D</t>
        </is>
      </c>
    </row>
    <row r="209">
      <c r="G209" s="41" t="n"/>
      <c r="J209" s="15" t="inlineStr">
        <is>
          <t>12262226-3/4" Torque Wrench - D</t>
        </is>
      </c>
    </row>
    <row r="210">
      <c r="G210" s="41" t="n"/>
      <c r="J210" s="15" t="inlineStr">
        <is>
          <t>12262227-Wagon Yard Cart - D</t>
        </is>
      </c>
    </row>
    <row r="211" ht="43.2" customHeight="1">
      <c r="G211" s="41" t="n"/>
      <c r="J211" s="15" t="inlineStr">
        <is>
          <t>12262228-Welding Machine - 300AMP Diesel/Trailer (Fuel Incl.) - D</t>
        </is>
      </c>
    </row>
    <row r="212" ht="43.2" customHeight="1">
      <c r="G212" s="41" t="n"/>
      <c r="J212" s="15" t="inlineStr">
        <is>
          <t>12262229-Welding Machine - 300AMP Diesel/Trailer (Fuel Incl.) - M</t>
        </is>
      </c>
    </row>
    <row r="213" ht="43.2" customHeight="1">
      <c r="G213" s="41" t="n"/>
      <c r="J213" s="15" t="inlineStr">
        <is>
          <t>12262230-Welding Machine - 500AMP Diesel/Trailer (Fuel Incl.) - D</t>
        </is>
      </c>
    </row>
    <row r="214" ht="43.2" customHeight="1">
      <c r="G214" s="41" t="n"/>
      <c r="J214" s="15" t="inlineStr">
        <is>
          <t>12262231-Welding Machine - 500AMP Diesel/Trailer (Fuel Incl.) - M</t>
        </is>
      </c>
    </row>
    <row r="215" ht="28.8" customHeight="1">
      <c r="G215" s="41" t="n"/>
      <c r="J215" s="15" t="inlineStr">
        <is>
          <t>12262232-Welding Machine - 275i Electric - D</t>
        </is>
      </c>
    </row>
    <row r="216" ht="28.8" customHeight="1">
      <c r="G216" s="41" t="n"/>
      <c r="J216" s="15" t="inlineStr">
        <is>
          <t>12262233-Welding Machine - 275i Electric - W</t>
        </is>
      </c>
    </row>
    <row r="217" ht="28.8" customHeight="1">
      <c r="G217" s="41" t="n"/>
      <c r="J217" s="15" t="inlineStr">
        <is>
          <t>12262234-Welding Machine - 275i Electric - M</t>
        </is>
      </c>
    </row>
    <row r="218" ht="28.8" customHeight="1">
      <c r="G218" s="41" t="n"/>
      <c r="J218" s="15" t="inlineStr">
        <is>
          <t>12262235-Welding Machine - 4 Pack 275i Elec. - D</t>
        </is>
      </c>
    </row>
    <row r="219" ht="28.8" customHeight="1">
      <c r="G219" s="41" t="n"/>
      <c r="J219" s="15" t="inlineStr">
        <is>
          <t>12262236-Welding Machine - 4 Pack 275i Elec. - W</t>
        </is>
      </c>
    </row>
    <row r="220" ht="28.8" customHeight="1">
      <c r="G220" s="41" t="n"/>
      <c r="J220" s="15" t="inlineStr">
        <is>
          <t>12262237-Welding Machine - 4 Pack 275i Elec. - M</t>
        </is>
      </c>
    </row>
    <row r="221" ht="28.8" customHeight="1">
      <c r="G221" s="41" t="n"/>
      <c r="J221" s="15" t="inlineStr">
        <is>
          <t>12262238-Welding Machine - 6 Pack Electric - D</t>
        </is>
      </c>
    </row>
    <row r="222" ht="28.8" customHeight="1">
      <c r="G222" s="41" t="n"/>
      <c r="J222" s="15" t="inlineStr">
        <is>
          <t>12262239-Welding Machine - 6 Pack Electric - M</t>
        </is>
      </c>
    </row>
    <row r="223" ht="28.8" customHeight="1">
      <c r="G223" s="41" t="n"/>
      <c r="J223" s="15" t="inlineStr">
        <is>
          <t>12262240-Welding Machine - 350 High Freq. - D</t>
        </is>
      </c>
    </row>
    <row r="224" ht="28.8" customHeight="1">
      <c r="G224" s="41" t="n"/>
      <c r="J224" s="15" t="inlineStr">
        <is>
          <t>12262241-Welding Machine - 350 High Freq. - W</t>
        </is>
      </c>
    </row>
    <row r="225" ht="28.8" customHeight="1">
      <c r="G225" s="41" t="n"/>
      <c r="J225" s="15" t="inlineStr">
        <is>
          <t>12262242-Welding Machine - 350 High Freq. - M</t>
        </is>
      </c>
    </row>
    <row r="226" ht="28.8" customHeight="1">
      <c r="G226" s="41" t="n"/>
      <c r="J226" s="15" t="inlineStr">
        <is>
          <t>12262243-Welding Machine - Remote 100FT - D</t>
        </is>
      </c>
    </row>
    <row r="227" ht="28.8" customHeight="1">
      <c r="G227" s="41" t="n"/>
      <c r="J227" s="15" t="inlineStr">
        <is>
          <t>12262244-Welding Machine - Remote 100FT - M</t>
        </is>
      </c>
    </row>
    <row r="228" ht="28.8" customHeight="1">
      <c r="G228" s="41" t="n"/>
      <c r="J228" s="15" t="inlineStr">
        <is>
          <t>12262245-Wrench - Striking - 2-3/8" Thru 3" - D</t>
        </is>
      </c>
    </row>
    <row r="229" ht="28.8" customHeight="1">
      <c r="G229" s="41" t="n"/>
      <c r="J229" s="15" t="inlineStr">
        <is>
          <t>12262246-Wrench - Striking - 2-3/8" Thru 3" - W</t>
        </is>
      </c>
    </row>
    <row r="230" ht="28.8" customHeight="1">
      <c r="G230" s="41" t="n"/>
      <c r="J230" s="15" t="inlineStr">
        <is>
          <t>12262247-Wrench - Striking - 2-3/8" Thru 3" - M</t>
        </is>
      </c>
    </row>
    <row r="231" ht="28.8" customHeight="1">
      <c r="G231" s="41" t="n"/>
      <c r="J231" s="15" t="inlineStr">
        <is>
          <t>12262248-Wrench - Combo - 2-3/8" Thru 3" - D</t>
        </is>
      </c>
    </row>
    <row r="232" ht="28.8" customHeight="1">
      <c r="G232" s="41" t="n"/>
      <c r="J232" s="15" t="inlineStr">
        <is>
          <t>12262249-Wrench - Combo - 2-3/8" Thru 3" - W</t>
        </is>
      </c>
    </row>
    <row r="233" ht="28.8" customHeight="1">
      <c r="G233" s="41" t="n"/>
      <c r="J233" s="15" t="inlineStr">
        <is>
          <t>12262250-Wrench - Combo - 2-3/8" Thru 3" - M</t>
        </is>
      </c>
    </row>
    <row r="234" ht="28.8" customHeight="1">
      <c r="G234" s="41" t="n"/>
      <c r="J234" s="15" t="inlineStr">
        <is>
          <t>12262251-Beam Trolley - Up to 10 Ton - D</t>
        </is>
      </c>
    </row>
    <row r="235" ht="28.8" customHeight="1">
      <c r="G235" s="41" t="n"/>
      <c r="J235" s="15" t="inlineStr">
        <is>
          <t>12262252-Beam Trolley - Up to 10 Ton - W</t>
        </is>
      </c>
    </row>
    <row r="236" ht="28.8" customHeight="1">
      <c r="G236" s="41" t="n"/>
      <c r="J236" s="15" t="inlineStr">
        <is>
          <t>12262253-Beam Trolley - Up to 10 Ton - M</t>
        </is>
      </c>
    </row>
    <row r="237" ht="28.8" customHeight="1">
      <c r="G237" s="41" t="n"/>
      <c r="J237" s="15" t="inlineStr">
        <is>
          <t>12262254-Chainfall - Up to 5 Ton - D</t>
        </is>
      </c>
    </row>
    <row r="238" ht="28.8" customHeight="1">
      <c r="G238" s="41" t="n"/>
      <c r="J238" s="15" t="inlineStr">
        <is>
          <t>12262255-Chainfall - Up to 5 Ton - W</t>
        </is>
      </c>
    </row>
    <row r="239" ht="28.8" customHeight="1">
      <c r="G239" s="41" t="n"/>
      <c r="J239" s="15" t="inlineStr">
        <is>
          <t>12262256-Chainfall - Up to 5 Ton - M</t>
        </is>
      </c>
    </row>
    <row r="240" ht="28.8" customHeight="1">
      <c r="G240" s="41" t="n"/>
      <c r="J240" s="15" t="inlineStr">
        <is>
          <t>12262257-ComeAlong - Up to 3 Ton - D</t>
        </is>
      </c>
    </row>
    <row r="241" ht="28.8" customHeight="1">
      <c r="G241" s="41" t="n"/>
      <c r="J241" s="15" t="inlineStr">
        <is>
          <t>12262258-ComeAlong - Up to 3 Ton - W</t>
        </is>
      </c>
    </row>
    <row r="242" ht="28.8" customHeight="1">
      <c r="G242" s="41" t="n"/>
      <c r="J242" s="15" t="inlineStr">
        <is>
          <t>12262259-ComeAlong - Up to 3 Ton - M</t>
        </is>
      </c>
    </row>
    <row r="243" ht="28.8" customHeight="1">
      <c r="G243" s="41" t="n"/>
      <c r="J243" s="15" t="inlineStr">
        <is>
          <t>12262260-Impact Gun-3/4" c/w Sockets Up To 2-3/8" - D</t>
        </is>
      </c>
    </row>
    <row r="244" ht="28.8" customHeight="1">
      <c r="G244" s="41" t="n"/>
      <c r="J244" s="15" t="inlineStr">
        <is>
          <t>12262261-Impact Gun-3/4" c/w Sockets Up To 2-3/8" - W</t>
        </is>
      </c>
    </row>
    <row r="245" ht="28.8" customHeight="1">
      <c r="G245" s="41" t="n"/>
      <c r="J245" s="15" t="inlineStr">
        <is>
          <t>12262262-Impact Gun-3/4" c/w Sockets Up To 2-3/8" - M</t>
        </is>
      </c>
    </row>
    <row r="246" ht="28.8" customHeight="1">
      <c r="G246" s="41" t="n"/>
      <c r="J246" s="15" t="inlineStr">
        <is>
          <t>12262263-Impact Gun-1" c/w Sockets Up To 2-3/8" - D</t>
        </is>
      </c>
    </row>
    <row r="247" ht="28.8" customHeight="1">
      <c r="G247" s="41" t="n"/>
      <c r="J247" s="15" t="inlineStr">
        <is>
          <t>12262264-Impact Gun-1" c/w Sockets Up To 2-3/8" - W</t>
        </is>
      </c>
    </row>
    <row r="248" ht="28.8" customHeight="1">
      <c r="G248" s="41" t="n"/>
      <c r="J248" s="15" t="inlineStr">
        <is>
          <t>12262265-Impact Gun-1" c/w Sockets Up To 2-3/8" - M</t>
        </is>
      </c>
    </row>
    <row r="249" ht="28.8" customHeight="1">
      <c r="G249" s="41" t="n"/>
      <c r="J249" s="15" t="inlineStr">
        <is>
          <t>12262266-Impact Gun-1-1/2" c/w Sockets Up To 2-3/8" - D</t>
        </is>
      </c>
    </row>
    <row r="250" ht="28.8" customHeight="1">
      <c r="G250" s="41" t="n"/>
      <c r="J250" s="15" t="inlineStr">
        <is>
          <t>12262267-Impact Gun-1-1/2" c/w Sockets Up To 2-3/8" - W</t>
        </is>
      </c>
    </row>
    <row r="251" ht="28.8" customHeight="1">
      <c r="G251" s="41" t="n"/>
      <c r="J251" s="15" t="inlineStr">
        <is>
          <t>12262268-Impact Gun-1-1/2" c/w Sockets Up To 2-3/8" - M</t>
        </is>
      </c>
    </row>
    <row r="252">
      <c r="G252" s="41" t="n"/>
      <c r="J252" s="15" t="inlineStr">
        <is>
          <t>12262269-Reciprocating Saw - D</t>
        </is>
      </c>
    </row>
    <row r="253" ht="28.8" customHeight="1">
      <c r="G253" s="41" t="n"/>
      <c r="J253" s="15" t="inlineStr">
        <is>
          <t>12262270-Hammer Drill - SDS Plus - D</t>
        </is>
      </c>
    </row>
    <row r="254">
      <c r="G254" s="41" t="n"/>
      <c r="J254" s="15" t="inlineStr">
        <is>
          <t>12262274-Saw - TigAir - D</t>
        </is>
      </c>
    </row>
    <row r="255" ht="28.8" customHeight="1">
      <c r="G255" s="41" t="n"/>
      <c r="J255" s="15" t="inlineStr">
        <is>
          <t>12262275-Welding Machine - 6 Pack Electric - W</t>
        </is>
      </c>
    </row>
    <row r="256">
      <c r="G256" s="41" t="n"/>
      <c r="J256" s="15" t="inlineStr">
        <is>
          <t>12263001-1/2T Truck - H</t>
        </is>
      </c>
    </row>
    <row r="257" ht="28.8" customHeight="1">
      <c r="G257" s="41" t="n"/>
      <c r="J257" s="15" t="inlineStr">
        <is>
          <t>12263009-Forklift Diesel Rough Terrain up to 8000lbs - D</t>
        </is>
      </c>
    </row>
    <row r="258" ht="28.8" customHeight="1">
      <c r="G258" s="41" t="n"/>
      <c r="J258" s="15" t="inlineStr">
        <is>
          <t>12263010-Forklift Diesel Rough Terrain up to 8000lbs - W</t>
        </is>
      </c>
    </row>
    <row r="259" ht="28.8" customHeight="1">
      <c r="G259" s="41" t="n"/>
      <c r="J259" s="15" t="inlineStr">
        <is>
          <t>12263011-Forklift Diesel Rough Terrain up to 8000lbs - M</t>
        </is>
      </c>
    </row>
    <row r="260" ht="28.8" customHeight="1">
      <c r="G260" s="41" t="n"/>
      <c r="J260" s="15" t="inlineStr">
        <is>
          <t>12263013-Forklift Gas Propane Up to 5000lbs - D</t>
        </is>
      </c>
    </row>
    <row r="261" ht="28.8" customHeight="1">
      <c r="G261" s="41" t="n"/>
      <c r="J261" s="15" t="inlineStr">
        <is>
          <t>12263014-Forklift Gas Propane Up to 5000lbs - W</t>
        </is>
      </c>
    </row>
    <row r="262" ht="28.8" customHeight="1">
      <c r="G262" s="41" t="n"/>
      <c r="J262" s="15" t="inlineStr">
        <is>
          <t>12263015-Forklift Gas Propane Up to 5000lbs - M</t>
        </is>
      </c>
    </row>
    <row r="263" ht="28.8" customHeight="1">
      <c r="G263" s="41" t="n"/>
      <c r="J263" s="15" t="inlineStr">
        <is>
          <t>12263019-Forklift 5000 LB Telehandler 18FT Reach - D</t>
        </is>
      </c>
    </row>
    <row r="264" ht="28.8" customHeight="1">
      <c r="G264" s="41" t="n"/>
      <c r="J264" s="15" t="inlineStr">
        <is>
          <t>12263020-Forklift 5000 LB Telehandler 18FT Reach - W</t>
        </is>
      </c>
    </row>
    <row r="265" ht="28.8" customHeight="1">
      <c r="G265" s="41" t="n"/>
      <c r="J265" s="15" t="inlineStr">
        <is>
          <t>12263022-Forklift 5000 LB Telehandler 18FT Reach - M</t>
        </is>
      </c>
    </row>
    <row r="266" ht="28.8" customHeight="1">
      <c r="G266" s="41" t="n"/>
      <c r="J266" s="15" t="inlineStr">
        <is>
          <t>12263023-Forklift 10000 LB Telehandler 55FT Reach - D</t>
        </is>
      </c>
    </row>
    <row r="267" ht="28.8" customHeight="1">
      <c r="G267" s="41" t="n"/>
      <c r="J267" s="15" t="inlineStr">
        <is>
          <t>12263024-Forklift 10000 LB Telehandler 55FT Reach - W</t>
        </is>
      </c>
    </row>
    <row r="268" ht="28.8" customHeight="1">
      <c r="G268" s="41" t="n"/>
      <c r="J268" s="15" t="inlineStr">
        <is>
          <t>12263025-Forklift 10000 LB Telehandler 55FT Reach - M</t>
        </is>
      </c>
    </row>
    <row r="269" ht="28.8" customHeight="1">
      <c r="G269" s="41" t="n"/>
      <c r="J269" s="15" t="inlineStr">
        <is>
          <t>12263026-Forklift - Delivery/Return Freight</t>
        </is>
      </c>
    </row>
    <row r="270" ht="28.8" customHeight="1">
      <c r="G270" s="41" t="n"/>
      <c r="J270" s="15" t="inlineStr">
        <is>
          <t>12263027-Golf Cart - 2 Passenger + Rear Seat (Fuel Incl) - W</t>
        </is>
      </c>
    </row>
    <row r="271" ht="28.8" customHeight="1">
      <c r="G271" s="41" t="n"/>
      <c r="J271" s="15" t="inlineStr">
        <is>
          <t>12263028-Golf Cart - 2 Passenger + Rear Seat (Fuel Incl) - M</t>
        </is>
      </c>
    </row>
    <row r="272">
      <c r="G272" s="41" t="n"/>
      <c r="J272" s="15" t="inlineStr">
        <is>
          <t>12263029-Golf Cart - Utility - W</t>
        </is>
      </c>
    </row>
    <row r="273">
      <c r="G273" s="41" t="n"/>
      <c r="J273" s="15" t="inlineStr">
        <is>
          <t>12263030-Golf Cart - Utility - M</t>
        </is>
      </c>
    </row>
    <row r="274" ht="28.8" customHeight="1">
      <c r="G274" s="41" t="n"/>
      <c r="J274" s="15" t="inlineStr">
        <is>
          <t>12263031-Kubota RTV - Diesel (Fuel Incl) - D</t>
        </is>
      </c>
    </row>
    <row r="275" ht="28.8" customHeight="1">
      <c r="G275" s="41" t="n"/>
      <c r="J275" s="15" t="inlineStr">
        <is>
          <t>12263032-Golf Cart - Delivery/Return Freight</t>
        </is>
      </c>
    </row>
    <row r="276" ht="28.8" customHeight="1">
      <c r="G276" s="41" t="n"/>
      <c r="J276" s="15" t="inlineStr">
        <is>
          <t>12263033-Kubota RTV - Diesel (Fuel Incl) - W</t>
        </is>
      </c>
    </row>
    <row r="277" ht="28.8" customHeight="1">
      <c r="G277" s="41" t="n"/>
      <c r="J277" s="15" t="inlineStr">
        <is>
          <t>12263034-Kubota RTV - Diesel (Fuel Incl) - M</t>
        </is>
      </c>
    </row>
    <row r="278" ht="28.8" customHeight="1">
      <c r="G278" s="41" t="n"/>
      <c r="J278" s="15" t="inlineStr">
        <is>
          <t>12263035-Kubota RTV - Delivery/Return Freight</t>
        </is>
      </c>
    </row>
    <row r="279" ht="28.8" customHeight="1">
      <c r="G279" s="41" t="n"/>
      <c r="J279" s="15" t="inlineStr">
        <is>
          <t>12263036-Manlift - 30' Artic Electric - D</t>
        </is>
      </c>
    </row>
    <row r="280" ht="28.8" customHeight="1">
      <c r="G280" s="41" t="n"/>
      <c r="J280" s="15" t="inlineStr">
        <is>
          <t>12263037-Manlift - 30' Artic Electric - W</t>
        </is>
      </c>
    </row>
    <row r="281" ht="28.8" customHeight="1">
      <c r="G281" s="41" t="n"/>
      <c r="J281" s="15" t="inlineStr">
        <is>
          <t>12263038-Manlift - 30' Artic Electric - M</t>
        </is>
      </c>
    </row>
    <row r="282" ht="28.8" customHeight="1">
      <c r="G282" s="41" t="n"/>
      <c r="J282" s="15" t="inlineStr">
        <is>
          <t>12263039-Manlift - 45' Artic 4wd (Fuel Incl) - D</t>
        </is>
      </c>
    </row>
    <row r="283" ht="28.8" customHeight="1">
      <c r="G283" s="41" t="n"/>
      <c r="J283" s="15" t="inlineStr">
        <is>
          <t>12263040-Manlift - 45' Artic 4wd (Fuel Incl) - W</t>
        </is>
      </c>
    </row>
    <row r="284" ht="28.8" customHeight="1">
      <c r="G284" s="41" t="n"/>
      <c r="J284" s="15" t="inlineStr">
        <is>
          <t>12263041-Manlift - 45' Artic 4wd (Fuel Incl) - M</t>
        </is>
      </c>
    </row>
    <row r="285" ht="28.8" customHeight="1">
      <c r="G285" s="41" t="n"/>
      <c r="J285" s="15" t="inlineStr">
        <is>
          <t>12263042-Manlift - 80' Artic 4wd (Fuel Incl) - D</t>
        </is>
      </c>
    </row>
    <row r="286" ht="28.8" customHeight="1">
      <c r="G286" s="41" t="n"/>
      <c r="J286" s="15" t="inlineStr">
        <is>
          <t>12263043-Manlift - 80' Artic 4wd (Fuel Incl) - W</t>
        </is>
      </c>
    </row>
    <row r="287" ht="28.8" customHeight="1">
      <c r="G287" s="41" t="n"/>
      <c r="J287" s="15" t="inlineStr">
        <is>
          <t>12263044-Manlift - 80' Artic 4wd (Fuel Incl) - M</t>
        </is>
      </c>
    </row>
    <row r="288" ht="28.8" customHeight="1">
      <c r="G288" s="41" t="n"/>
      <c r="J288" s="15" t="inlineStr">
        <is>
          <t>12263045-Manlift - 125' Artic 4wd (Fuel Incl) - D</t>
        </is>
      </c>
    </row>
    <row r="289" ht="28.8" customHeight="1">
      <c r="G289" s="41" t="n"/>
      <c r="J289" s="15" t="inlineStr">
        <is>
          <t>12263046-Manlift - 125' Artic 4wd (Fuel Incl) - W</t>
        </is>
      </c>
    </row>
    <row r="290" ht="28.8" customHeight="1">
      <c r="G290" s="41" t="n"/>
      <c r="J290" s="15" t="inlineStr">
        <is>
          <t>12263047-Manlift - 125' Artic 4wd (Fuel Incl) - M</t>
        </is>
      </c>
    </row>
    <row r="291" ht="28.8" customHeight="1">
      <c r="G291" s="41" t="n"/>
      <c r="J291" s="15" t="inlineStr">
        <is>
          <t>12263048-Manlift - Delivery/Return Freight</t>
        </is>
      </c>
    </row>
    <row r="292" ht="28.8" customHeight="1">
      <c r="G292" s="41" t="n"/>
      <c r="J292" s="15" t="inlineStr">
        <is>
          <t>12263049-Scissor Lift - 19FT Platform Height DC - D</t>
        </is>
      </c>
    </row>
    <row r="293" ht="28.8" customHeight="1">
      <c r="G293" s="41" t="n"/>
      <c r="J293" s="15" t="inlineStr">
        <is>
          <t>12263050-Scissor Lift - 19FT Platform Height DC - W</t>
        </is>
      </c>
    </row>
    <row r="294" ht="28.8" customHeight="1">
      <c r="G294" s="41" t="n"/>
      <c r="J294" s="15" t="inlineStr">
        <is>
          <t>12263051-Scissor Lift - 19FT Platform Height DC - M</t>
        </is>
      </c>
    </row>
    <row r="295" ht="28.8" customHeight="1">
      <c r="G295" s="41" t="n"/>
      <c r="J295" s="15" t="inlineStr">
        <is>
          <t>12263052-Scissor Lift - 26FT Platform Height DC - D</t>
        </is>
      </c>
    </row>
    <row r="296" ht="28.8" customHeight="1">
      <c r="G296" s="41" t="n"/>
      <c r="J296" s="15" t="inlineStr">
        <is>
          <t>12263053-Scissor Lift - 26FT Platform Height DC - W</t>
        </is>
      </c>
    </row>
    <row r="297" ht="28.8" customHeight="1">
      <c r="G297" s="41" t="n"/>
      <c r="J297" s="15" t="inlineStr">
        <is>
          <t>12263054-Scissor Lift - 26FT Platform Height DC - M</t>
        </is>
      </c>
    </row>
    <row r="298" ht="28.8" customHeight="1">
      <c r="G298" s="41" t="n"/>
      <c r="J298" s="15" t="inlineStr">
        <is>
          <t>12263055-Scissor Lift - 32FT Platform Height DC - D</t>
        </is>
      </c>
    </row>
    <row r="299" ht="28.8" customHeight="1">
      <c r="G299" s="41" t="n"/>
      <c r="J299" s="15" t="inlineStr">
        <is>
          <t>12263056-Scissor Lift - 32FT Platform Height DC - W</t>
        </is>
      </c>
    </row>
    <row r="300" ht="28.8" customHeight="1">
      <c r="G300" s="41" t="n"/>
      <c r="J300" s="15" t="inlineStr">
        <is>
          <t>12263057-Scissor Lift - 32FT Platform Height DC - M</t>
        </is>
      </c>
    </row>
    <row r="301" ht="28.8" customHeight="1">
      <c r="G301" s="41" t="n"/>
      <c r="J301" s="15" t="inlineStr">
        <is>
          <t>12263058-Scissor Lift - 27FT Gas/LP/Diesel Rough Terrain - D</t>
        </is>
      </c>
    </row>
    <row r="302" ht="28.8" customHeight="1">
      <c r="G302" s="41" t="n"/>
      <c r="J302" s="15" t="inlineStr">
        <is>
          <t>12263059-Scissor Lift - 27FT Gas/LP/Diesel Rough Terrain - W</t>
        </is>
      </c>
    </row>
    <row r="303" ht="28.8" customHeight="1">
      <c r="G303" s="41" t="n"/>
      <c r="J303" s="15" t="inlineStr">
        <is>
          <t>12263060-Scissor Lift - 27FT Gas/LP/Diesel Rough Terrain - M</t>
        </is>
      </c>
    </row>
    <row r="304" ht="28.8" customHeight="1">
      <c r="G304" s="41" t="n"/>
      <c r="J304" s="15" t="inlineStr">
        <is>
          <t>12263061-Scissor Lift - 40FT Gas/LP/Diesel Rough Terrain - D</t>
        </is>
      </c>
    </row>
    <row r="305" ht="28.8" customHeight="1">
      <c r="G305" s="41" t="n"/>
      <c r="J305" s="15" t="inlineStr">
        <is>
          <t>12263062-Scissor Lift - 40FT Gas/LP/Diesel Rough Terrain - W</t>
        </is>
      </c>
    </row>
    <row r="306" ht="28.8" customHeight="1">
      <c r="G306" s="41" t="n"/>
      <c r="J306" s="15" t="inlineStr">
        <is>
          <t>12263063-Scissor Lift - 40FT Gas/LP/Diesel Rough Terrain - M</t>
        </is>
      </c>
    </row>
    <row r="307" ht="28.8" customHeight="1">
      <c r="G307" s="41" t="n"/>
      <c r="J307" s="15" t="inlineStr">
        <is>
          <t>12263064-Scissor Lift - 50FT Gas/LP/Diesel Rough Terrain - D</t>
        </is>
      </c>
    </row>
    <row r="308" ht="28.8" customHeight="1">
      <c r="G308" s="41" t="n"/>
      <c r="J308" s="15" t="inlineStr">
        <is>
          <t>12263065-Scissor Lift - 50FT Gas/LP/Diesel Rough Terrain - W</t>
        </is>
      </c>
    </row>
    <row r="309" ht="28.8" customHeight="1">
      <c r="G309" s="41" t="n"/>
      <c r="J309" s="15" t="inlineStr">
        <is>
          <t>12263066-Scissor Lift - 50FT Gas/LP/Diesel Rough Terrain - M</t>
        </is>
      </c>
    </row>
    <row r="310" ht="28.8" customHeight="1">
      <c r="G310" s="41" t="n"/>
      <c r="J310" s="15" t="inlineStr">
        <is>
          <t>12263067-Scissor Lift - Delivery/Return Freight</t>
        </is>
      </c>
    </row>
    <row r="311" ht="28.8" customHeight="1">
      <c r="G311" s="41" t="n"/>
      <c r="J311" s="15" t="inlineStr">
        <is>
          <t>12263068-Van - 12 Passenger Shuttle - D</t>
        </is>
      </c>
    </row>
    <row r="312" ht="28.8" customHeight="1">
      <c r="G312" s="41" t="n"/>
      <c r="J312" s="15" t="inlineStr">
        <is>
          <t>12263069-Van - 12 Passenger Shuttle - W</t>
        </is>
      </c>
    </row>
    <row r="313" ht="28.8" customHeight="1">
      <c r="G313" s="41" t="n"/>
      <c r="J313" s="15" t="inlineStr">
        <is>
          <t>12263070-Van - 12 Passenger Shuttle - M</t>
        </is>
      </c>
    </row>
    <row r="314">
      <c r="G314" s="41" t="n"/>
      <c r="J314" s="15" t="inlineStr">
        <is>
          <t>12263102-1/2T Truck - D</t>
        </is>
      </c>
    </row>
    <row r="315">
      <c r="G315" s="41" t="n"/>
      <c r="J315" s="15" t="inlineStr">
        <is>
          <t>12263103-1/2T Truck - W</t>
        </is>
      </c>
    </row>
    <row r="316">
      <c r="G316" s="41" t="n"/>
      <c r="J316" s="15" t="inlineStr">
        <is>
          <t>12263104-1/2T Truck - M</t>
        </is>
      </c>
    </row>
    <row r="317">
      <c r="G317" s="41" t="n"/>
      <c r="J317" s="15" t="inlineStr">
        <is>
          <t>12263108-Weld Rig Truck - D</t>
        </is>
      </c>
    </row>
    <row r="318" ht="28.8" customHeight="1">
      <c r="G318" s="41" t="n"/>
      <c r="J318" s="15" t="inlineStr">
        <is>
          <t>12263110-Truck - Fuel/Delivery 1-Ton + - H</t>
        </is>
      </c>
    </row>
    <row r="319" ht="28.8" customHeight="1">
      <c r="G319" s="41" t="n"/>
      <c r="J319" s="15" t="inlineStr">
        <is>
          <t>12263112-Sea-Can - Delivery/Return Freight</t>
        </is>
      </c>
    </row>
    <row r="320">
      <c r="G320" s="41" t="n"/>
      <c r="J320" s="15" t="inlineStr">
        <is>
          <t>12950000-Wood Skid - 4"x6"x4' - D</t>
        </is>
      </c>
    </row>
    <row r="321" ht="28.8" customHeight="1">
      <c r="G321" s="41" t="n"/>
      <c r="J321" s="15" t="inlineStr">
        <is>
          <t>12950001-Wood Skid - 4"x6"x4' - W</t>
        </is>
      </c>
    </row>
    <row r="322" ht="28.8" customHeight="1">
      <c r="G322" s="41" t="n"/>
      <c r="J322" s="15" t="inlineStr">
        <is>
          <t>12950002-Wood Skid - 4"x6"x4' - M</t>
        </is>
      </c>
    </row>
    <row r="323">
      <c r="G323" s="41" t="n"/>
      <c r="J323" s="15" t="inlineStr">
        <is>
          <t>12952052-Bottled Water</t>
        </is>
      </c>
    </row>
    <row r="324">
      <c r="G324" s="41" t="n"/>
      <c r="J324" s="15" t="inlineStr">
        <is>
          <t>12952053-Ice</t>
        </is>
      </c>
    </row>
    <row r="325">
      <c r="G325" s="41" t="n"/>
      <c r="J325" s="15" t="inlineStr">
        <is>
          <t>12204011-LOA - D</t>
        </is>
      </c>
    </row>
    <row r="326">
      <c r="G326" s="41" t="n"/>
    </row>
    <row r="327">
      <c r="G327" s="41" t="n"/>
    </row>
    <row r="328">
      <c r="G328" s="41" t="n"/>
    </row>
    <row r="329">
      <c r="G329" s="41" t="n"/>
    </row>
    <row r="330">
      <c r="G330" s="41" t="n"/>
    </row>
    <row r="331">
      <c r="G331" s="41" t="n"/>
    </row>
    <row r="332">
      <c r="G332" s="41" t="n"/>
    </row>
    <row r="333">
      <c r="G333" s="41" t="n"/>
    </row>
    <row r="334">
      <c r="G334" s="41" t="n"/>
    </row>
    <row r="335">
      <c r="G335" s="41" t="n"/>
    </row>
    <row r="336">
      <c r="G336" s="41" t="n"/>
    </row>
    <row r="337">
      <c r="G337" s="41" t="n"/>
    </row>
    <row r="338">
      <c r="G338" s="41" t="n"/>
    </row>
    <row r="339">
      <c r="G339" s="41" t="n"/>
    </row>
    <row r="340">
      <c r="G340" s="41" t="n"/>
    </row>
    <row r="341">
      <c r="G341" s="41" t="n"/>
    </row>
    <row r="342">
      <c r="G342" s="41" t="n"/>
    </row>
    <row r="343">
      <c r="G343" s="41" t="n"/>
    </row>
    <row r="344">
      <c r="G344" s="41" t="n"/>
    </row>
    <row r="345">
      <c r="G345" s="41" t="n"/>
    </row>
    <row r="346">
      <c r="G346" s="41" t="n"/>
    </row>
    <row r="347">
      <c r="G347" s="41" t="n"/>
    </row>
    <row r="348">
      <c r="G348" s="41" t="n"/>
    </row>
    <row r="349">
      <c r="G349" s="41" t="n"/>
    </row>
    <row r="350">
      <c r="G350" s="41" t="n"/>
    </row>
    <row r="351">
      <c r="G351" s="41" t="n"/>
    </row>
    <row r="352">
      <c r="G352" s="41" t="n"/>
    </row>
    <row r="353">
      <c r="G353" s="41" t="n"/>
    </row>
    <row r="354">
      <c r="G354" s="41" t="n"/>
    </row>
    <row r="355">
      <c r="G355" s="41" t="n"/>
    </row>
    <row r="356">
      <c r="G356" s="41" t="n"/>
    </row>
    <row r="357">
      <c r="G357" s="41" t="n"/>
    </row>
    <row r="358">
      <c r="G358" s="41" t="n"/>
    </row>
    <row r="359">
      <c r="G359" s="41" t="n"/>
    </row>
    <row r="360">
      <c r="G360" s="41" t="n"/>
    </row>
    <row r="361">
      <c r="G361" s="41" t="n"/>
    </row>
    <row r="362">
      <c r="G362" s="41" t="n"/>
    </row>
    <row r="363">
      <c r="G363" s="41" t="n"/>
    </row>
    <row r="364">
      <c r="G364" s="41" t="n"/>
    </row>
    <row r="365">
      <c r="G365" s="41" t="n"/>
    </row>
    <row r="366">
      <c r="G366" s="41" t="n"/>
    </row>
    <row r="367">
      <c r="G367" s="41" t="n"/>
    </row>
    <row r="368">
      <c r="G368" s="41" t="n"/>
    </row>
    <row r="369">
      <c r="G369" s="41" t="n"/>
    </row>
    <row r="370">
      <c r="G370" s="41" t="n"/>
    </row>
    <row r="371">
      <c r="G371" s="41" t="n"/>
    </row>
    <row r="372">
      <c r="G372" s="41" t="n"/>
    </row>
    <row r="373">
      <c r="G373" s="41" t="n"/>
    </row>
    <row r="374">
      <c r="G374" s="41" t="n"/>
    </row>
    <row r="375">
      <c r="G375" s="41" t="n"/>
    </row>
    <row r="376">
      <c r="G376" s="41" t="n"/>
    </row>
    <row r="377">
      <c r="G377" s="41" t="n"/>
    </row>
    <row r="378">
      <c r="G378" s="41" t="n"/>
    </row>
    <row r="379">
      <c r="G379" s="41" t="n"/>
    </row>
    <row r="380">
      <c r="G380" s="41" t="n"/>
    </row>
    <row r="381">
      <c r="G381" s="41" t="n"/>
    </row>
    <row r="382">
      <c r="G382" s="41" t="n"/>
    </row>
    <row r="383">
      <c r="G383" s="41" t="n"/>
    </row>
    <row r="384">
      <c r="G384" s="41" t="n"/>
    </row>
    <row r="385">
      <c r="G385" s="41" t="n"/>
    </row>
    <row r="386">
      <c r="G386" s="41" t="n"/>
    </row>
    <row r="387">
      <c r="G387" s="41" t="n"/>
    </row>
    <row r="388">
      <c r="G388" s="41" t="n"/>
    </row>
    <row r="389">
      <c r="G389" s="41" t="n"/>
    </row>
    <row r="390">
      <c r="G390" s="41" t="n"/>
    </row>
    <row r="391">
      <c r="G391" s="41" t="n"/>
    </row>
    <row r="392">
      <c r="G392" s="41" t="n"/>
    </row>
    <row r="393">
      <c r="G393" s="41" t="n"/>
    </row>
    <row r="394">
      <c r="G394" s="41" t="n"/>
    </row>
    <row r="395">
      <c r="G395" s="41" t="n"/>
    </row>
    <row r="396">
      <c r="G396" s="41" t="n"/>
    </row>
    <row r="397">
      <c r="G397" s="41" t="n"/>
    </row>
    <row r="398">
      <c r="G398" s="41" t="n"/>
    </row>
    <row r="399">
      <c r="G399" s="41" t="n"/>
    </row>
    <row r="400">
      <c r="G400" s="41" t="n"/>
    </row>
    <row r="401">
      <c r="G401" s="41" t="n"/>
    </row>
    <row r="402">
      <c r="G402" s="41" t="n"/>
    </row>
    <row r="403">
      <c r="G403" s="41" t="n"/>
    </row>
    <row r="404">
      <c r="G404" s="41" t="n"/>
    </row>
    <row r="405">
      <c r="G405" s="41" t="n"/>
    </row>
    <row r="406">
      <c r="G406" s="41" t="n"/>
    </row>
    <row r="407">
      <c r="G407" s="41" t="n"/>
    </row>
    <row r="408">
      <c r="G408" s="41" t="n"/>
    </row>
    <row r="409">
      <c r="G409" s="41" t="n"/>
    </row>
    <row r="410">
      <c r="G410" s="41" t="n"/>
    </row>
    <row r="411">
      <c r="G411" s="41" t="n"/>
    </row>
    <row r="412">
      <c r="G412" s="41" t="n"/>
    </row>
    <row r="413">
      <c r="G413" s="41" t="n"/>
    </row>
    <row r="414">
      <c r="G414" s="41" t="n"/>
    </row>
    <row r="415">
      <c r="G415" s="41" t="n"/>
    </row>
    <row r="416">
      <c r="G416" s="41" t="n"/>
    </row>
    <row r="417">
      <c r="G417" s="41" t="n"/>
    </row>
    <row r="418">
      <c r="G418" s="41" t="n"/>
    </row>
    <row r="419">
      <c r="G419" s="41" t="n"/>
    </row>
    <row r="420">
      <c r="G420" s="41" t="n"/>
    </row>
    <row r="421">
      <c r="G421" s="41" t="n"/>
    </row>
    <row r="422">
      <c r="G422" s="41" t="n"/>
    </row>
    <row r="423">
      <c r="G423" s="41" t="n"/>
    </row>
    <row r="424">
      <c r="G424" s="41" t="n"/>
    </row>
    <row r="425">
      <c r="G425" s="41" t="n"/>
    </row>
    <row r="426">
      <c r="G426" s="41" t="n"/>
    </row>
    <row r="427">
      <c r="G427" s="41" t="n"/>
    </row>
    <row r="428">
      <c r="G428" s="41" t="n"/>
    </row>
    <row r="429">
      <c r="G429" s="41" t="n"/>
    </row>
    <row r="430">
      <c r="G430" s="41" t="n"/>
    </row>
    <row r="431">
      <c r="G431" s="41" t="n"/>
    </row>
    <row r="432">
      <c r="G432" s="41" t="n"/>
    </row>
    <row r="433">
      <c r="G433" s="41" t="n"/>
    </row>
    <row r="434">
      <c r="G434" s="41" t="n"/>
    </row>
    <row r="435">
      <c r="G435" s="41" t="n"/>
    </row>
    <row r="436">
      <c r="G436" s="41" t="n"/>
    </row>
    <row r="437">
      <c r="G437" s="41" t="n"/>
    </row>
    <row r="438">
      <c r="G438" s="41" t="n"/>
    </row>
    <row r="439">
      <c r="G439" s="41" t="n"/>
    </row>
    <row r="440">
      <c r="G440" s="41" t="n"/>
    </row>
    <row r="441">
      <c r="G441" s="41" t="n"/>
    </row>
    <row r="442">
      <c r="G442" s="41" t="n"/>
    </row>
    <row r="443">
      <c r="G443" s="41" t="n"/>
    </row>
    <row r="444">
      <c r="G444" s="41" t="n"/>
    </row>
    <row r="445">
      <c r="G445" s="41" t="n"/>
    </row>
    <row r="446">
      <c r="G446" s="41" t="n"/>
    </row>
    <row r="447">
      <c r="G447" s="41" t="n"/>
    </row>
    <row r="448">
      <c r="G448" s="41" t="n"/>
    </row>
    <row r="449">
      <c r="G449" s="41" t="n"/>
    </row>
    <row r="450">
      <c r="G450" s="41" t="n"/>
    </row>
    <row r="451">
      <c r="G451" s="41" t="n"/>
    </row>
    <row r="452">
      <c r="G452" s="41" t="n"/>
    </row>
    <row r="453">
      <c r="G453" s="41" t="n"/>
    </row>
    <row r="454">
      <c r="G454" s="41" t="n"/>
    </row>
    <row r="455">
      <c r="G455" s="41" t="n"/>
    </row>
    <row r="456">
      <c r="G456" s="41" t="n"/>
    </row>
    <row r="457">
      <c r="G457" s="41" t="n"/>
    </row>
    <row r="458">
      <c r="G458" s="41" t="n"/>
    </row>
    <row r="459">
      <c r="G459" s="41" t="n"/>
    </row>
    <row r="460">
      <c r="G460" s="41" t="n"/>
    </row>
    <row r="461">
      <c r="G461" s="41" t="n"/>
    </row>
    <row r="462">
      <c r="G462" s="41" t="n"/>
    </row>
    <row r="463">
      <c r="G463" s="41" t="n"/>
    </row>
    <row r="464">
      <c r="G464" s="41" t="n"/>
    </row>
    <row r="465">
      <c r="G465" s="41" t="n"/>
    </row>
    <row r="466">
      <c r="G466" s="41" t="n"/>
    </row>
    <row r="467">
      <c r="G467" s="41" t="n"/>
    </row>
    <row r="468">
      <c r="G468" s="41" t="n"/>
    </row>
    <row r="469">
      <c r="G469" s="41" t="n"/>
    </row>
    <row r="470">
      <c r="G470" s="41" t="n"/>
    </row>
    <row r="471">
      <c r="G471" s="41" t="n"/>
    </row>
    <row r="472">
      <c r="G472" s="41" t="n"/>
    </row>
    <row r="473">
      <c r="G473" s="41" t="n"/>
    </row>
    <row r="474">
      <c r="G474" s="41" t="n"/>
    </row>
    <row r="475">
      <c r="G475" s="41" t="n"/>
    </row>
    <row r="476">
      <c r="G476" s="41" t="n"/>
    </row>
    <row r="477">
      <c r="G477" s="41" t="n"/>
    </row>
    <row r="478">
      <c r="G478" s="41" t="n"/>
    </row>
  </sheetData>
  <pageMargins left="0.7" right="0.7" top="0.75" bottom="0.75" header="0.3" footer="0.3"/>
  <pageSetup orientation="portrait"/>
  <tableParts count="10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  <tablePart xmlns:r="http://schemas.openxmlformats.org/officeDocument/2006/relationships" r:id="rId10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6" sqref="A6"/>
    </sheetView>
  </sheetViews>
  <sheetFormatPr baseColWidth="8" defaultRowHeight="14.4"/>
  <cols>
    <col width="36.5546875" bestFit="1" customWidth="1" min="1" max="1"/>
  </cols>
  <sheetData>
    <row r="1">
      <c r="A1" t="inlineStr">
        <is>
          <t>SwipeDeviation</t>
        </is>
      </c>
    </row>
    <row r="3">
      <c r="A3" t="inlineStr">
        <is>
          <t>Call In</t>
        </is>
      </c>
    </row>
    <row r="4">
      <c r="A4" t="inlineStr">
        <is>
          <t>Remote Onboarding</t>
        </is>
      </c>
    </row>
    <row r="5">
      <c r="A5" t="inlineStr">
        <is>
          <t>Remote Work / Offsite Meeting</t>
        </is>
      </c>
    </row>
    <row r="6">
      <c r="A6" t="inlineStr">
        <is>
          <t>Safety - Fit for Duty Checks</t>
        </is>
      </c>
    </row>
    <row r="7">
      <c r="A7" t="inlineStr">
        <is>
          <t>Safety - Offsite Medical Aid</t>
        </is>
      </c>
    </row>
    <row r="8">
      <c r="A8" t="inlineStr">
        <is>
          <t>Safety - Providing Offsite Training</t>
        </is>
      </c>
    </row>
    <row r="9">
      <c r="A9" t="inlineStr">
        <is>
          <t>Safety - Site Emergency</t>
        </is>
      </c>
    </row>
    <row r="10">
      <c r="A10" t="inlineStr">
        <is>
          <t>Shop Fabrication</t>
        </is>
      </c>
    </row>
    <row r="11">
      <c r="A11" t="inlineStr">
        <is>
          <t>Shop Visit / Materials Pickup</t>
        </is>
      </c>
    </row>
    <row r="12">
      <c r="A12" t="inlineStr">
        <is>
          <t>Show Up Time</t>
        </is>
      </c>
    </row>
    <row r="13">
      <c r="A13" t="inlineStr">
        <is>
          <t>Swipe Gate Issue / New Hire Card Pickup</t>
        </is>
      </c>
    </row>
    <row r="14">
      <c r="A14" t="inlineStr">
        <is>
          <t>Weld Test</t>
        </is>
      </c>
    </row>
    <row r="15">
      <c r="A15" t="inlineStr">
        <is>
          <t>Wolverine Office - 3D</t>
        </is>
      </c>
    </row>
    <row r="16">
      <c r="A16" t="inlineStr">
        <is>
          <t>Wolverine Office - Procurement</t>
        </is>
      </c>
    </row>
    <row r="17">
      <c r="A17" t="inlineStr">
        <is>
          <t>Work Through Break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9" sqref="A9"/>
    </sheetView>
  </sheetViews>
  <sheetFormatPr baseColWidth="8" defaultRowHeight="14.4"/>
  <cols>
    <col width="32.21875" bestFit="1" customWidth="1" min="1" max="1"/>
  </cols>
  <sheetData>
    <row r="1">
      <c r="A1" t="inlineStr">
        <is>
          <t>HoldUp</t>
        </is>
      </c>
    </row>
    <row r="2">
      <c r="A2" t="inlineStr">
        <is>
          <t>Approved Offsite / Swipe Deviation</t>
        </is>
      </c>
    </row>
    <row r="3">
      <c r="A3" t="inlineStr">
        <is>
          <t>Decision Needed to Proceed</t>
        </is>
      </c>
    </row>
    <row r="4">
      <c r="A4" t="inlineStr">
        <is>
          <t>Equip Avail, Not Prepped</t>
        </is>
      </c>
    </row>
    <row r="5">
      <c r="A5" t="inlineStr">
        <is>
          <t>Equip Not Avail</t>
        </is>
      </c>
    </row>
    <row r="6">
      <c r="A6" t="inlineStr">
        <is>
          <t>Parts/Material Not Avail</t>
        </is>
      </c>
    </row>
    <row r="7">
      <c r="A7" t="inlineStr">
        <is>
          <t>Permit Delay</t>
        </is>
      </c>
    </row>
    <row r="8">
      <c r="A8" t="inlineStr">
        <is>
          <t>Prev Op Not Complete</t>
        </is>
      </c>
    </row>
    <row r="9">
      <c r="A9" t="inlineStr">
        <is>
          <t>Priority Change by Owner</t>
        </is>
      </c>
    </row>
    <row r="10">
      <c r="A10" t="inlineStr">
        <is>
          <t>Safety Incident/Plant Evac</t>
        </is>
      </c>
    </row>
    <row r="11">
      <c r="A11" t="inlineStr">
        <is>
          <t>Support Not Avail - Crane</t>
        </is>
      </c>
    </row>
    <row r="12">
      <c r="A12" t="inlineStr">
        <is>
          <t>Support Not Avail - Other</t>
        </is>
      </c>
    </row>
    <row r="13">
      <c r="A13" t="inlineStr">
        <is>
          <t>Support Not Avail - Scaffold</t>
        </is>
      </c>
    </row>
    <row r="14">
      <c r="A14" t="inlineStr">
        <is>
          <t>Travel Disruption</t>
        </is>
      </c>
    </row>
    <row r="15">
      <c r="A15" t="inlineStr">
        <is>
          <t>Weather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2" sqref="A2"/>
    </sheetView>
  </sheetViews>
  <sheetFormatPr baseColWidth="8" defaultRowHeight="14.4"/>
  <cols>
    <col width="7.21875" bestFit="1" customWidth="1" min="1" max="1"/>
  </cols>
  <sheetData>
    <row r="1">
      <c r="A1" t="inlineStr">
        <is>
          <t>Shift</t>
        </is>
      </c>
    </row>
    <row r="2">
      <c r="A2" t="inlineStr">
        <is>
          <t>Day</t>
        </is>
      </c>
    </row>
    <row r="3">
      <c r="A3" t="inlineStr">
        <is>
          <t>Night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2" sqref="A2"/>
    </sheetView>
  </sheetViews>
  <sheetFormatPr baseColWidth="8" defaultRowHeight="14.4"/>
  <cols>
    <col width="12.77734375" bestFit="1" customWidth="1" min="1" max="1"/>
  </cols>
  <sheetData>
    <row r="1">
      <c r="A1" t="inlineStr">
        <is>
          <t>Location</t>
        </is>
      </c>
    </row>
    <row r="2">
      <c r="A2" t="inlineStr">
        <is>
          <t>1 - Shop Floor</t>
        </is>
      </c>
    </row>
    <row r="3">
      <c r="A3" t="inlineStr">
        <is>
          <t>2 - Office</t>
        </is>
      </c>
    </row>
    <row r="4">
      <c r="A4" t="inlineStr">
        <is>
          <t>3 - Field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48"/>
  <sheetViews>
    <sheetView workbookViewId="0">
      <selection activeCell="A15" sqref="A15"/>
    </sheetView>
  </sheetViews>
  <sheetFormatPr baseColWidth="8" defaultRowHeight="14.4"/>
  <cols>
    <col width="67.44140625" bestFit="1" customWidth="1" min="1" max="1"/>
  </cols>
  <sheetData>
    <row r="1">
      <c r="A1" t="inlineStr">
        <is>
          <t>Equipment</t>
        </is>
      </c>
    </row>
    <row r="2">
      <c r="A2" t="inlineStr">
        <is>
          <t>12204011-LOA - D</t>
        </is>
      </c>
    </row>
    <row r="3">
      <c r="A3" t="inlineStr">
        <is>
          <t>12207000-Harness - Worker's - D</t>
        </is>
      </c>
    </row>
    <row r="4">
      <c r="A4" t="inlineStr">
        <is>
          <t>12207001-Harness - Worker's - W</t>
        </is>
      </c>
    </row>
    <row r="5">
      <c r="A5" t="inlineStr">
        <is>
          <t>12207002-Harness - Worker's - M</t>
        </is>
      </c>
    </row>
    <row r="6">
      <c r="A6" t="inlineStr">
        <is>
          <t>12207003-Harness - Lanyard 6" Dual Retractable - D</t>
        </is>
      </c>
    </row>
    <row r="7">
      <c r="A7" t="inlineStr">
        <is>
          <t>12207004-Harness - Lanyard 6" Dual Retractable - W</t>
        </is>
      </c>
    </row>
    <row r="8">
      <c r="A8" t="inlineStr">
        <is>
          <t>12207005-Harness - Lanyard 6" Dual Retractable - M</t>
        </is>
      </c>
    </row>
    <row r="9">
      <c r="A9" t="inlineStr">
        <is>
          <t>12207006-MSA - 4X Altair Gas Monitor - D</t>
        </is>
      </c>
    </row>
    <row r="10">
      <c r="A10" t="inlineStr">
        <is>
          <t>12207007-MSA - 4X Altair Gas Monitor - W</t>
        </is>
      </c>
    </row>
    <row r="11">
      <c r="A11" t="inlineStr">
        <is>
          <t>12207008-MSA - 4X Altair Gas Monitor - M</t>
        </is>
      </c>
    </row>
    <row r="12">
      <c r="A12" t="inlineStr">
        <is>
          <t>12207009-MSA - GX2 Calibration/Bump Station/Cylinder Holder/Charger - D</t>
        </is>
      </c>
    </row>
    <row r="13">
      <c r="A13" t="inlineStr">
        <is>
          <t>12207010-MSA - GX2 Calibration/Bump Station/Cylinder Holder/Charger - W</t>
        </is>
      </c>
    </row>
    <row r="14">
      <c r="A14" t="inlineStr">
        <is>
          <t>12207011-MSA - GX2 Calibration/Bump Station/Cylinder Holder/Charger - M</t>
        </is>
      </c>
    </row>
    <row r="15">
      <c r="A15" t="inlineStr">
        <is>
          <t>12260001-Porta Pump - Up to 460 Cu In - W</t>
        </is>
      </c>
    </row>
    <row r="16">
      <c r="A16" t="inlineStr">
        <is>
          <t>12260002-Porta Pump - Ram Duck Bill - W</t>
        </is>
      </c>
    </row>
    <row r="17">
      <c r="A17" t="inlineStr">
        <is>
          <t>12260003-Porta Pump - Ram 20-30 Ton - W</t>
        </is>
      </c>
    </row>
    <row r="18">
      <c r="A18" t="inlineStr">
        <is>
          <t>12260005-Blast Resistant Trailer - 12'x40' - W</t>
        </is>
      </c>
    </row>
    <row r="19">
      <c r="A19" t="inlineStr">
        <is>
          <t>12260006-Blast Resistant Trailer - 12'x40' - M</t>
        </is>
      </c>
    </row>
    <row r="20">
      <c r="A20" t="inlineStr">
        <is>
          <t>12260007-Coverall Trailer - 8' x 20' With Stairs - W</t>
        </is>
      </c>
    </row>
    <row r="21">
      <c r="A21" t="inlineStr">
        <is>
          <t>12260008-Coverall Trailer - 8' x 20' With Stairs - M</t>
        </is>
      </c>
    </row>
    <row r="22">
      <c r="A22" t="inlineStr">
        <is>
          <t>12260009-Trailer - Delivery/Return Freight</t>
        </is>
      </c>
    </row>
    <row r="23">
      <c r="A23" t="inlineStr">
        <is>
          <t>12260010-Trailer - Block &amp; Level</t>
        </is>
      </c>
    </row>
    <row r="24">
      <c r="A24" t="inlineStr">
        <is>
          <t>12260011-Trailer - Teardown</t>
        </is>
      </c>
    </row>
    <row r="25">
      <c r="A25" t="inlineStr">
        <is>
          <t>12260012-Blast Resistant Trailer - Delivery/Return Freight</t>
        </is>
      </c>
    </row>
    <row r="26">
      <c r="A26" t="inlineStr">
        <is>
          <t>12260013-Blast Resistant Trailer - Crane Cost</t>
        </is>
      </c>
    </row>
    <row r="27">
      <c r="A27" t="inlineStr">
        <is>
          <t>12260014-Office Trailer - 12'x40'/48' With 2 Sets Of Stairs - M</t>
        </is>
      </c>
    </row>
    <row r="28">
      <c r="A28" t="inlineStr">
        <is>
          <t>12260015-Office Trailer - 12'x60' With 2 Sets Of Stairs - W</t>
        </is>
      </c>
    </row>
    <row r="29">
      <c r="A29" t="inlineStr">
        <is>
          <t>12260016-Office Trailer - 12'x60' With 2 Sets Of Stairs - M</t>
        </is>
      </c>
    </row>
    <row r="30">
      <c r="A30" t="inlineStr">
        <is>
          <t>12260017-Xerox Machine - Copier/Fax (Charge Per Copy Not Incl.) - W</t>
        </is>
      </c>
    </row>
    <row r="31">
      <c r="A31" t="inlineStr">
        <is>
          <t>12260018-Xerox Machine - Copier/Fax (Charge Per Copy Not Incl.) - M</t>
        </is>
      </c>
    </row>
    <row r="32">
      <c r="A32" t="inlineStr">
        <is>
          <t>12260019-Trailer - Flat Deck 10'-24' - D</t>
        </is>
      </c>
    </row>
    <row r="33">
      <c r="A33" t="inlineStr">
        <is>
          <t>12260020-Trailer - Flat Deck 25'-40' - D</t>
        </is>
      </c>
    </row>
    <row r="34">
      <c r="A34" t="inlineStr">
        <is>
          <t>12260021-Trailer- Enclosed (Tool Trailer) - D</t>
        </is>
      </c>
    </row>
    <row r="35">
      <c r="A35" t="inlineStr">
        <is>
          <t>12260060-Ice Box - W</t>
        </is>
      </c>
    </row>
    <row r="36">
      <c r="A36" t="inlineStr">
        <is>
          <t>12260061-Office Trailer - 12'x40'/48' With 2 Sets Of Stairs - W</t>
        </is>
      </c>
    </row>
    <row r="37">
      <c r="A37" t="inlineStr">
        <is>
          <t>12260062-Ice Box - M</t>
        </is>
      </c>
    </row>
    <row r="38">
      <c r="A38" t="inlineStr">
        <is>
          <t>12260063-Ice Box - Delivery/Return Freight</t>
        </is>
      </c>
    </row>
    <row r="39">
      <c r="A39" t="inlineStr">
        <is>
          <t>12261001-Laptop - D</t>
        </is>
      </c>
    </row>
    <row r="40">
      <c r="A40" t="inlineStr">
        <is>
          <t>12261002-Laptop - W</t>
        </is>
      </c>
    </row>
    <row r="41">
      <c r="A41" t="inlineStr">
        <is>
          <t>12261003-Laptop - M</t>
        </is>
      </c>
    </row>
    <row r="42">
      <c r="A42" t="inlineStr">
        <is>
          <t>12261004-Tablet - D</t>
        </is>
      </c>
    </row>
    <row r="43">
      <c r="A43" t="inlineStr">
        <is>
          <t>12261005-Tablet - W</t>
        </is>
      </c>
    </row>
    <row r="44">
      <c r="A44" t="inlineStr">
        <is>
          <t>12261006-Tablet - M</t>
        </is>
      </c>
    </row>
    <row r="45">
      <c r="A45" t="inlineStr">
        <is>
          <t>12262000-Leica RTC360 Scanner</t>
        </is>
      </c>
    </row>
    <row r="46">
      <c r="A46" t="inlineStr">
        <is>
          <t>12262012-1/2" Torque Wrench - W</t>
        </is>
      </c>
    </row>
    <row r="47">
      <c r="A47" t="inlineStr">
        <is>
          <t>12262013-1/2" Torque Wrench - M</t>
        </is>
      </c>
    </row>
    <row r="48">
      <c r="A48" t="inlineStr">
        <is>
          <t>12262031-3/4" Torque Wrench - W</t>
        </is>
      </c>
    </row>
    <row r="49">
      <c r="A49" t="inlineStr">
        <is>
          <t>12262032-3/4" Torque Wrench - M</t>
        </is>
      </c>
    </row>
    <row r="50">
      <c r="A50" t="inlineStr">
        <is>
          <t>12262033-350 lb Rod Oven - W</t>
        </is>
      </c>
    </row>
    <row r="51">
      <c r="A51" t="inlineStr">
        <is>
          <t>12262034-350 lb Rod Oven - M</t>
        </is>
      </c>
    </row>
    <row r="52">
      <c r="A52" t="inlineStr">
        <is>
          <t>12262041-535 Threader - D</t>
        </is>
      </c>
    </row>
    <row r="53">
      <c r="A53" t="inlineStr">
        <is>
          <t>12262042-535 Threader - W</t>
        </is>
      </c>
    </row>
    <row r="54">
      <c r="A54" t="inlineStr">
        <is>
          <t>12262043-535 Threader - M</t>
        </is>
      </c>
    </row>
    <row r="55">
      <c r="A55" t="inlineStr">
        <is>
          <t>12262044-Saw - Fein Air - D</t>
        </is>
      </c>
    </row>
    <row r="56">
      <c r="A56" t="inlineStr">
        <is>
          <t>12262048-Compressor 185 CFM - D</t>
        </is>
      </c>
    </row>
    <row r="57">
      <c r="A57" t="inlineStr">
        <is>
          <t>12262049-Compressor 185 CFM - W</t>
        </is>
      </c>
    </row>
    <row r="58">
      <c r="A58" t="inlineStr">
        <is>
          <t>12262050-Compressor 185 CFM - M</t>
        </is>
      </c>
    </row>
    <row r="59">
      <c r="A59" t="inlineStr">
        <is>
          <t>12262051-Electric Fusion Machine 2in-4in - D</t>
        </is>
      </c>
    </row>
    <row r="60">
      <c r="A60" t="inlineStr">
        <is>
          <t>12262052-Electric Fusion Machine 4in-12in - D</t>
        </is>
      </c>
    </row>
    <row r="61">
      <c r="A61" t="inlineStr">
        <is>
          <t>12262053-Fabrication Bench - D</t>
        </is>
      </c>
    </row>
    <row r="62">
      <c r="A62" t="inlineStr">
        <is>
          <t>12262054-Flange Spreader - 10,000 LB - W</t>
        </is>
      </c>
    </row>
    <row r="63">
      <c r="A63" t="inlineStr">
        <is>
          <t>12262055-Flange Spreader - 10,000 LB - M</t>
        </is>
      </c>
    </row>
    <row r="64">
      <c r="A64" t="inlineStr">
        <is>
          <t>12262055-Light - 3FT LED - D</t>
        </is>
      </c>
    </row>
    <row r="65">
      <c r="A65" t="inlineStr">
        <is>
          <t>12262056-Fresh Air Trailer (Dbl Use) - D</t>
        </is>
      </c>
    </row>
    <row r="66">
      <c r="A66" t="inlineStr">
        <is>
          <t>12262057-Fresh Air Trailer (Single Use) - D</t>
        </is>
      </c>
    </row>
    <row r="67">
      <c r="A67" t="inlineStr">
        <is>
          <t>12262058-Generator 3500W Gasoline (Fuel Incl) - D</t>
        </is>
      </c>
    </row>
    <row r="68">
      <c r="A68" t="inlineStr">
        <is>
          <t>12262059-Generator 3500W Gasoline (Fuel Incl) - W</t>
        </is>
      </c>
    </row>
    <row r="69">
      <c r="A69" t="inlineStr">
        <is>
          <t>12262060-Generator 3500W Gasoline (Fuel Incl) - M</t>
        </is>
      </c>
    </row>
    <row r="70">
      <c r="A70" t="inlineStr">
        <is>
          <t>12262065-Saw - TigAir - D</t>
        </is>
      </c>
    </row>
    <row r="71">
      <c r="A71" t="inlineStr">
        <is>
          <t>12262070-Welding Machine - 6 Pack Electric - W</t>
        </is>
      </c>
    </row>
    <row r="72">
      <c r="A72" t="inlineStr">
        <is>
          <t>12262071-Jobox - W</t>
        </is>
      </c>
    </row>
    <row r="73">
      <c r="A73" t="inlineStr">
        <is>
          <t>12262072-Jobox - M</t>
        </is>
      </c>
    </row>
    <row r="74">
      <c r="A74" t="inlineStr">
        <is>
          <t>12262074-Mag Drill - D</t>
        </is>
      </c>
    </row>
    <row r="75">
      <c r="A75" t="inlineStr">
        <is>
          <t>12262075-Mag Drill - W</t>
        </is>
      </c>
    </row>
    <row r="76">
      <c r="A76" t="inlineStr">
        <is>
          <t>12262076-Mag Drill - M</t>
        </is>
      </c>
    </row>
    <row r="77">
      <c r="A77" t="inlineStr">
        <is>
          <t>12262078-Manlift (60ft) - D</t>
        </is>
      </c>
    </row>
    <row r="78">
      <c r="A78" t="inlineStr">
        <is>
          <t>12262080-OT Meals - D</t>
        </is>
      </c>
    </row>
    <row r="79">
      <c r="A79" t="inlineStr">
        <is>
          <t>12262081-Oxy/Acetylene Cuttting Outfit - W</t>
        </is>
      </c>
    </row>
    <row r="80">
      <c r="A80" t="inlineStr">
        <is>
          <t>12262082-Oxy/Acetylene Cuttting Outfit - M</t>
        </is>
      </c>
    </row>
    <row r="81">
      <c r="A81" t="inlineStr">
        <is>
          <t>12262083-Pipe Stand - W</t>
        </is>
      </c>
    </row>
    <row r="82">
      <c r="A82" t="inlineStr">
        <is>
          <t>12262084-Pipe Stand - M</t>
        </is>
      </c>
    </row>
    <row r="83">
      <c r="A83" t="inlineStr">
        <is>
          <t>12262087-Saw - Portaband - W</t>
        </is>
      </c>
    </row>
    <row r="84">
      <c r="A84" t="inlineStr">
        <is>
          <t>12262088-Saw - Portaband - M</t>
        </is>
      </c>
    </row>
    <row r="85">
      <c r="A85" t="inlineStr">
        <is>
          <t>12262089-Radios - W</t>
        </is>
      </c>
    </row>
    <row r="86">
      <c r="A86" t="inlineStr">
        <is>
          <t>12262090-Radios - M</t>
        </is>
      </c>
    </row>
    <row r="87">
      <c r="A87" t="inlineStr">
        <is>
          <t>12262091-Saw - Reciprocating - M</t>
        </is>
      </c>
    </row>
    <row r="88">
      <c r="A88" t="inlineStr">
        <is>
          <t>12262092-Saw - Reciprocating - W</t>
        </is>
      </c>
    </row>
    <row r="89">
      <c r="A89" t="inlineStr">
        <is>
          <t>12262094-Shop Equipment/hr/man - H</t>
        </is>
      </c>
    </row>
    <row r="90">
      <c r="A90" t="inlineStr">
        <is>
          <t>12262096-Wagon Yard Cart - W</t>
        </is>
      </c>
    </row>
    <row r="91">
      <c r="A91" t="inlineStr">
        <is>
          <t>12262097-Wagon Yard Cart - M</t>
        </is>
      </c>
    </row>
    <row r="92">
      <c r="A92" t="inlineStr">
        <is>
          <t>12262099-Vapour Propane Torch - W</t>
        </is>
      </c>
    </row>
    <row r="93">
      <c r="A93" t="inlineStr">
        <is>
          <t>12262100-Vapour Propane Torch - M</t>
        </is>
      </c>
    </row>
    <row r="94">
      <c r="A94" t="inlineStr">
        <is>
          <t>12262103-Air Hose 3/4" x 50 FT - W</t>
        </is>
      </c>
    </row>
    <row r="95">
      <c r="A95" t="inlineStr">
        <is>
          <t>12262104-Fabrication Bench - W</t>
        </is>
      </c>
    </row>
    <row r="96">
      <c r="A96" t="inlineStr">
        <is>
          <t>12262106-Air Horn - 3" Thru 8" - D</t>
        </is>
      </c>
    </row>
    <row r="97">
      <c r="A97" t="inlineStr">
        <is>
          <t>12262107-Air Horn - 3" Thru 8" - W</t>
        </is>
      </c>
    </row>
    <row r="98">
      <c r="A98" t="inlineStr">
        <is>
          <t>12262108-Air Horn - 3" Thru 8" - M</t>
        </is>
      </c>
    </row>
    <row r="99">
      <c r="A99" t="inlineStr">
        <is>
          <t>12262109-Fabrication Bench - M</t>
        </is>
      </c>
    </row>
    <row r="100">
      <c r="A100" t="inlineStr">
        <is>
          <t>12262110-Compressor 375 CFM - D</t>
        </is>
      </c>
    </row>
    <row r="101">
      <c r="A101" t="inlineStr">
        <is>
          <t>12262111-Compressor 375 CFM - W</t>
        </is>
      </c>
    </row>
    <row r="102">
      <c r="A102" t="inlineStr">
        <is>
          <t>12262112-Compressor 375 CFM - M</t>
        </is>
      </c>
    </row>
    <row r="103">
      <c r="A103" t="inlineStr">
        <is>
          <t>12262115-Manlift (60ft) - W</t>
        </is>
      </c>
    </row>
    <row r="104">
      <c r="A104" t="inlineStr">
        <is>
          <t>12262116-Manlift (60ft) - M</t>
        </is>
      </c>
    </row>
    <row r="105">
      <c r="A105" t="inlineStr">
        <is>
          <t>12262121-Compressor Air Dryer - 375 - D</t>
        </is>
      </c>
    </row>
    <row r="106">
      <c r="A106" t="inlineStr">
        <is>
          <t>12262122-Compressor Air Dryer - 375 - W</t>
        </is>
      </c>
    </row>
    <row r="107">
      <c r="A107" t="inlineStr">
        <is>
          <t>12262123-Compressor Air Dryer - 375 - M</t>
        </is>
      </c>
    </row>
    <row r="108">
      <c r="A108" t="inlineStr">
        <is>
          <t>12262124-Compressor Pig - 8 Outlets - D</t>
        </is>
      </c>
    </row>
    <row r="109">
      <c r="A109" t="inlineStr">
        <is>
          <t>12262125-Welding Machine - Remote 100FT - W</t>
        </is>
      </c>
    </row>
    <row r="110">
      <c r="A110" t="inlineStr">
        <is>
          <t>12262126-Welding Machine - 300AMP Diesel/Trailer (Fuel Incl.) - W</t>
        </is>
      </c>
    </row>
    <row r="111">
      <c r="A111" t="inlineStr">
        <is>
          <t>12262127-Compressor Pig - 8 Outlets - W</t>
        </is>
      </c>
    </row>
    <row r="112">
      <c r="A112" t="inlineStr">
        <is>
          <t>12262128-Welding Machine - 500AMP Diesel/Trailer (Fuel Incl.) - W</t>
        </is>
      </c>
    </row>
    <row r="113">
      <c r="A113" t="inlineStr">
        <is>
          <t>12262129-Compressor Pig - 8 Outlets - M</t>
        </is>
      </c>
    </row>
    <row r="114">
      <c r="A114" t="inlineStr">
        <is>
          <t>12262130-Air Hose 3/4" x 50 FT - D</t>
        </is>
      </c>
    </row>
    <row r="115">
      <c r="A115" t="inlineStr">
        <is>
          <t>12262131-Air Hose 3/4" x 50 FT - M</t>
        </is>
      </c>
    </row>
    <row r="116">
      <c r="A116" t="inlineStr">
        <is>
          <t>12262132-Air Hose 2" x 25 FT - D</t>
        </is>
      </c>
    </row>
    <row r="117">
      <c r="A117" t="inlineStr">
        <is>
          <t>12262133-Air Hose 2" x 25 FT - W</t>
        </is>
      </c>
    </row>
    <row r="118">
      <c r="A118" t="inlineStr">
        <is>
          <t>12262134-Air Hose 2" x 25 FT - M</t>
        </is>
      </c>
    </row>
    <row r="119">
      <c r="A119" t="inlineStr">
        <is>
          <t>12262135-Oxy/Acetylene Cuttting Outfit - D</t>
        </is>
      </c>
    </row>
    <row r="120">
      <c r="A120" t="inlineStr">
        <is>
          <t>12262136-Flange Spreader - 10,000 LB - D</t>
        </is>
      </c>
    </row>
    <row r="121">
      <c r="A121" t="inlineStr">
        <is>
          <t>12262137-Flange Spreader - 25,000 LB - D</t>
        </is>
      </c>
    </row>
    <row r="122">
      <c r="A122" t="inlineStr">
        <is>
          <t>12262138-Flange Spreader - 25,000 LB - W</t>
        </is>
      </c>
    </row>
    <row r="123">
      <c r="A123" t="inlineStr">
        <is>
          <t>12262139-Flange Spreader - 25,000 LB - M</t>
        </is>
      </c>
    </row>
    <row r="124">
      <c r="A124" t="inlineStr">
        <is>
          <t>12262140-Generator 25KW Diesel (Fuel Incl) - D</t>
        </is>
      </c>
    </row>
    <row r="125">
      <c r="A125" t="inlineStr">
        <is>
          <t>12262141-Generator 25KW Diesel (Fuel Incl) - W</t>
        </is>
      </c>
    </row>
    <row r="126">
      <c r="A126" t="inlineStr">
        <is>
          <t>12262142-Generator 25KW Diesel (Fuel Incl) - M</t>
        </is>
      </c>
    </row>
    <row r="127">
      <c r="A127" t="inlineStr">
        <is>
          <t>12262143-Generator 100KW Diesel (Fuel Incl) - D</t>
        </is>
      </c>
    </row>
    <row r="128">
      <c r="A128" t="inlineStr">
        <is>
          <t>12262144-Generator 100KW Diesel (Fuel Incl) - W</t>
        </is>
      </c>
    </row>
    <row r="129">
      <c r="A129" t="inlineStr">
        <is>
          <t>12262145-Generator 100KW Diesel (Fuel Incl) - M</t>
        </is>
      </c>
    </row>
    <row r="130">
      <c r="A130" t="inlineStr">
        <is>
          <t>12262147-Generator 185KW Diesel (Fuel Incl) - W</t>
        </is>
      </c>
    </row>
    <row r="131">
      <c r="A131" t="inlineStr">
        <is>
          <t>12262148-Generator 185KW Diesel (Fuel Incl) - M</t>
        </is>
      </c>
    </row>
    <row r="132">
      <c r="A132" t="inlineStr">
        <is>
          <t>12262150-Generator 350KW Diesel (Fuel Incl) - W</t>
        </is>
      </c>
    </row>
    <row r="133">
      <c r="A133" t="inlineStr">
        <is>
          <t>12262151-Generator 350KW Diesel (Fuel Incl) - M</t>
        </is>
      </c>
    </row>
    <row r="134">
      <c r="A134" t="inlineStr">
        <is>
          <t>12262152-Hammer Drill - SDS Plus - W</t>
        </is>
      </c>
    </row>
    <row r="135">
      <c r="A135" t="inlineStr">
        <is>
          <t>12262153-Hammer Drill - SDS Plus - M</t>
        </is>
      </c>
    </row>
    <row r="136">
      <c r="A136" t="inlineStr">
        <is>
          <t>12262154-Hammer Drill - SDS Max - D</t>
        </is>
      </c>
    </row>
    <row r="137">
      <c r="A137" t="inlineStr">
        <is>
          <t>12262155-Hammer Drill - SDS Max - W</t>
        </is>
      </c>
    </row>
    <row r="138">
      <c r="A138" t="inlineStr">
        <is>
          <t>12262156-Hammer Drill - SDS Max - M</t>
        </is>
      </c>
    </row>
    <row r="139">
      <c r="A139" t="inlineStr">
        <is>
          <t>12262157-Impact Sockets - 1" DR x 2-3/8" Thru 3" - D</t>
        </is>
      </c>
    </row>
    <row r="140">
      <c r="A140" t="inlineStr">
        <is>
          <t>12262158-Impact Sockets - 1" DR x 2-3/8" Thru 3" - W</t>
        </is>
      </c>
    </row>
    <row r="141">
      <c r="A141" t="inlineStr">
        <is>
          <t>12262159-Impact Sockets - 1" DR x 2-3/8" Thru 3" - M</t>
        </is>
      </c>
    </row>
    <row r="142">
      <c r="A142" t="inlineStr">
        <is>
          <t>12262160-Impact Sockets - 1-1/2" DR x 2-3/8" Thru 3-1/2" - D</t>
        </is>
      </c>
    </row>
    <row r="143">
      <c r="A143" t="inlineStr">
        <is>
          <t>12262161-Impact Sockets - 1-1/2" DR x 2-3/8" Thru 3-1/2" - W</t>
        </is>
      </c>
    </row>
    <row r="144">
      <c r="A144" t="inlineStr">
        <is>
          <t>12262162-Impact Sockets - 1-1/2" DR x 2-3/8" Thru 3-1/2" - M</t>
        </is>
      </c>
    </row>
    <row r="145">
      <c r="A145" t="inlineStr">
        <is>
          <t>12262163-Jobox - D</t>
        </is>
      </c>
    </row>
    <row r="146">
      <c r="A146" t="inlineStr">
        <is>
          <t>12262164-Light - 3FT LED - W</t>
        </is>
      </c>
    </row>
    <row r="147">
      <c r="A147" t="inlineStr">
        <is>
          <t>12262165-Light - 3FT LED - M</t>
        </is>
      </c>
    </row>
    <row r="148">
      <c r="A148" t="inlineStr">
        <is>
          <t>12262166-Light Tower - Diesel - D</t>
        </is>
      </c>
    </row>
    <row r="149">
      <c r="A149" t="inlineStr">
        <is>
          <t>12262167-Light Tower - Diesel - W</t>
        </is>
      </c>
    </row>
    <row r="150">
      <c r="A150" t="inlineStr">
        <is>
          <t>12262168-Light Tower - Diesel - M</t>
        </is>
      </c>
    </row>
    <row r="151">
      <c r="A151" t="inlineStr">
        <is>
          <t>12262169-Light - Wobble 85 Watt - D</t>
        </is>
      </c>
    </row>
    <row r="152">
      <c r="A152" t="inlineStr">
        <is>
          <t>12262170-Light - Wobble 85 Watt - W</t>
        </is>
      </c>
    </row>
    <row r="153">
      <c r="A153" t="inlineStr">
        <is>
          <t>12262171-Light - Wobble 85 Watt - M</t>
        </is>
      </c>
    </row>
    <row r="154">
      <c r="A154" t="inlineStr">
        <is>
          <t>12262172-Pipe Beveller - 1-1/2" Thru 12" - D</t>
        </is>
      </c>
    </row>
    <row r="155">
      <c r="A155" t="inlineStr">
        <is>
          <t>12262173-Pipe Beveller - 1-1/2" Thru 12" - W</t>
        </is>
      </c>
    </row>
    <row r="156">
      <c r="A156" t="inlineStr">
        <is>
          <t>12262174-Pipe Beveller - 1-1/2" Thru 12" - M</t>
        </is>
      </c>
    </row>
    <row r="157">
      <c r="A157" t="inlineStr">
        <is>
          <t>12262175-Pipe Beveller - 12" Thru 20" - D</t>
        </is>
      </c>
    </row>
    <row r="158">
      <c r="A158" t="inlineStr">
        <is>
          <t>12262176-Pipe Beveller - 12" Thru 20" - W</t>
        </is>
      </c>
    </row>
    <row r="159">
      <c r="A159" t="inlineStr">
        <is>
          <t>12262177-Pipe Beveller - 12" Thru 20" - M</t>
        </is>
      </c>
    </row>
    <row r="160">
      <c r="A160" t="inlineStr">
        <is>
          <t>12262178-Pipe Positioner - 3000LB - D</t>
        </is>
      </c>
    </row>
    <row r="161">
      <c r="A161" t="inlineStr">
        <is>
          <t>12262179-Pipe Positioner - 3000LB - W</t>
        </is>
      </c>
    </row>
    <row r="162">
      <c r="A162" t="inlineStr">
        <is>
          <t>12262180-Pipe Positioner - 3000LB - M</t>
        </is>
      </c>
    </row>
    <row r="163">
      <c r="A163" t="inlineStr">
        <is>
          <t>12262181-Pipe Stand - D</t>
        </is>
      </c>
    </row>
    <row r="164">
      <c r="A164" t="inlineStr">
        <is>
          <t>12262182-Saw - Portaband - D</t>
        </is>
      </c>
    </row>
    <row r="165">
      <c r="A165" t="inlineStr">
        <is>
          <t>12262183-Porta Pump - Up to 460 Cu In - D</t>
        </is>
      </c>
    </row>
    <row r="166">
      <c r="A166" t="inlineStr">
        <is>
          <t>12262184-Porta Pump - Up to 460 Cu In - M</t>
        </is>
      </c>
    </row>
    <row r="167">
      <c r="A167" t="inlineStr">
        <is>
          <t>12262185-Porta Pump - Ram Duck Bill - D</t>
        </is>
      </c>
    </row>
    <row r="168">
      <c r="A168" t="inlineStr">
        <is>
          <t>12262186-Porta Pump - Ram Duck Bill - M</t>
        </is>
      </c>
    </row>
    <row r="169">
      <c r="A169" t="inlineStr">
        <is>
          <t>12262187-Porta Pump - Ram 20-30 Ton - D</t>
        </is>
      </c>
    </row>
    <row r="170">
      <c r="A170" t="inlineStr">
        <is>
          <t>12262188-Porta Pump - Ram 20-30 Ton - M</t>
        </is>
      </c>
    </row>
    <row r="171">
      <c r="A171" t="inlineStr">
        <is>
          <t>12262189-Radios - D</t>
        </is>
      </c>
    </row>
    <row r="172">
      <c r="A172" t="inlineStr">
        <is>
          <t>12262190-350 lb Rod Oven - D</t>
        </is>
      </c>
    </row>
    <row r="173">
      <c r="A173" t="inlineStr">
        <is>
          <t>12262191-Saw - TigAir - W</t>
        </is>
      </c>
    </row>
    <row r="174">
      <c r="A174" t="inlineStr">
        <is>
          <t>12262192-Saw - TigAir - M</t>
        </is>
      </c>
    </row>
    <row r="175">
      <c r="A175" t="inlineStr">
        <is>
          <t>12262193-Saw - Fein Air - W</t>
        </is>
      </c>
    </row>
    <row r="176">
      <c r="A176" t="inlineStr">
        <is>
          <t>12262194-Saw - Fein Air - M</t>
        </is>
      </c>
    </row>
    <row r="177">
      <c r="A177" t="inlineStr">
        <is>
          <t>12262195-Saw - Fein Air Saw Clamp - D</t>
        </is>
      </c>
    </row>
    <row r="178">
      <c r="A178" t="inlineStr">
        <is>
          <t>12262196-Saw - Fein Air Saw Clamp - W</t>
        </is>
      </c>
    </row>
    <row r="179">
      <c r="A179" t="inlineStr">
        <is>
          <t>12262197-Saw - Fein Air Saw Clamp - M</t>
        </is>
      </c>
    </row>
    <row r="180">
      <c r="A180" t="inlineStr">
        <is>
          <t>12262199-Smoke Extractor - Suitcase - D</t>
        </is>
      </c>
    </row>
    <row r="181">
      <c r="A181" t="inlineStr">
        <is>
          <t>12262200-Smoke Extractor - Suitcase - W</t>
        </is>
      </c>
    </row>
    <row r="182">
      <c r="A182" t="inlineStr">
        <is>
          <t>12262201-Smoke Extractor - Suitcase - M</t>
        </is>
      </c>
    </row>
    <row r="183">
      <c r="A183" t="inlineStr">
        <is>
          <t>12262202-Smoke Extractor - Large - D</t>
        </is>
      </c>
    </row>
    <row r="184">
      <c r="A184" t="inlineStr">
        <is>
          <t>12262203-Smoke Extractor - Large - W</t>
        </is>
      </c>
    </row>
    <row r="185">
      <c r="A185" t="inlineStr">
        <is>
          <t>12262204-Smoke Extractor - Large - M</t>
        </is>
      </c>
    </row>
    <row r="186">
      <c r="A186" t="inlineStr">
        <is>
          <t>12262205-Test Pump - Jerry Can 10,000PSI (Manual) - D</t>
        </is>
      </c>
    </row>
    <row r="187">
      <c r="A187" t="inlineStr">
        <is>
          <t>12262206-Test Pump - Jerry Can 10,000PSI (Manual) - W</t>
        </is>
      </c>
    </row>
    <row r="188">
      <c r="A188" t="inlineStr">
        <is>
          <t>12262207-Test Pump - Jerry Can 10,000PSI (Manual) - M</t>
        </is>
      </c>
    </row>
    <row r="189">
      <c r="A189" t="inlineStr">
        <is>
          <t>12262208-Test Pump - Hydrostatic (Air) 10,000PSI (Pneumatic) - D</t>
        </is>
      </c>
    </row>
    <row r="190">
      <c r="A190" t="inlineStr">
        <is>
          <t>12262209-Test Pump - Hydrostatic (Air) 10,000PSI (Pneumatic) - W</t>
        </is>
      </c>
    </row>
    <row r="191">
      <c r="A191" t="inlineStr">
        <is>
          <t>12262210-Test Pump - Hydrostatic (Air) 10,000PSI (Pneumatic) - M</t>
        </is>
      </c>
    </row>
    <row r="192">
      <c r="A192" t="inlineStr">
        <is>
          <t>12262211-Test Pump - Hydrostatic (Gas) - D</t>
        </is>
      </c>
    </row>
    <row r="193">
      <c r="A193" t="inlineStr">
        <is>
          <t>12262212-Test Pump - Hydrostatic (Gas) - W</t>
        </is>
      </c>
    </row>
    <row r="194">
      <c r="A194" t="inlineStr">
        <is>
          <t>12262213-Test Pump - Hydrostatic (Gas) - M</t>
        </is>
      </c>
    </row>
    <row r="195">
      <c r="A195" t="inlineStr">
        <is>
          <t>12262214-Vapour Propane Torch - D</t>
        </is>
      </c>
    </row>
    <row r="196">
      <c r="A196" t="inlineStr">
        <is>
          <t>12262215-535 Threader - Dies 1/2" Thru 2" - D</t>
        </is>
      </c>
    </row>
    <row r="197">
      <c r="A197" t="inlineStr">
        <is>
          <t>12262216-535 Threader - Dies 1/2" Thru 2" - W</t>
        </is>
      </c>
    </row>
    <row r="198">
      <c r="A198" t="inlineStr">
        <is>
          <t>12262217-535 Threader - Dies 1/2" Thru 2" - M</t>
        </is>
      </c>
    </row>
    <row r="199">
      <c r="A199" t="inlineStr">
        <is>
          <t>12262218-Torque Gun-3/4" Air/Cordless - D</t>
        </is>
      </c>
    </row>
    <row r="200">
      <c r="A200" t="inlineStr">
        <is>
          <t>12262219-Torque Gun-3/4" Air/Cordless - W</t>
        </is>
      </c>
    </row>
    <row r="201">
      <c r="A201" t="inlineStr">
        <is>
          <t>12262220-Torque Gun-3/4" Air/Cordless - M</t>
        </is>
      </c>
    </row>
    <row r="202">
      <c r="A202" t="inlineStr">
        <is>
          <t>12262221-Torque Gun - 1" Air/Cordless - D</t>
        </is>
      </c>
    </row>
    <row r="203">
      <c r="A203" t="inlineStr">
        <is>
          <t>12262222-Torque Gun - 1" Air/Cordless - W</t>
        </is>
      </c>
    </row>
    <row r="204">
      <c r="A204" t="inlineStr">
        <is>
          <t>12262223-Torque Gun - 1" Air/Cordless - M</t>
        </is>
      </c>
    </row>
    <row r="205">
      <c r="A205" t="inlineStr">
        <is>
          <t>12262224-Regulator - Air Pressure - M</t>
        </is>
      </c>
    </row>
    <row r="206">
      <c r="A206" t="inlineStr">
        <is>
          <t>12262225-1/2" Torque Wrench - D</t>
        </is>
      </c>
    </row>
    <row r="207">
      <c r="A207" t="inlineStr">
        <is>
          <t>12262226-3/4" Torque Wrench - D</t>
        </is>
      </c>
    </row>
    <row r="208">
      <c r="A208" t="inlineStr">
        <is>
          <t>12262227-Wagon Yard Cart - D</t>
        </is>
      </c>
    </row>
    <row r="209">
      <c r="A209" t="inlineStr">
        <is>
          <t>12262228-Welding Machine - 300AMP Diesel/Trailer (Fuel Incl.) - D</t>
        </is>
      </c>
    </row>
    <row r="210">
      <c r="A210" t="inlineStr">
        <is>
          <t>12262229-Welding Machine - 300AMP Diesel/Trailer (Fuel Incl.) - M</t>
        </is>
      </c>
    </row>
    <row r="211">
      <c r="A211" t="inlineStr">
        <is>
          <t>12262230-Welding Machine - 500AMP Diesel/Trailer (Fuel Incl.) - D</t>
        </is>
      </c>
    </row>
    <row r="212">
      <c r="A212" t="inlineStr">
        <is>
          <t>12262231-Welding Machine - 500AMP Diesel/Trailer (Fuel Incl.) - M</t>
        </is>
      </c>
    </row>
    <row r="213">
      <c r="A213" t="inlineStr">
        <is>
          <t>12262232-Welding Machine - 275i Electric - D</t>
        </is>
      </c>
    </row>
    <row r="214">
      <c r="A214" t="inlineStr">
        <is>
          <t>12262233-Welding Machine - 275i Electric - W</t>
        </is>
      </c>
    </row>
    <row r="215">
      <c r="A215" t="inlineStr">
        <is>
          <t>12262234-Welding Machine - 275i Electric - M</t>
        </is>
      </c>
    </row>
    <row r="216">
      <c r="A216" t="inlineStr">
        <is>
          <t>12262235-Welding Machine - 4 Pack 275i Elec. - D</t>
        </is>
      </c>
    </row>
    <row r="217">
      <c r="A217" t="inlineStr">
        <is>
          <t>12262236-Welding Machine - 4 Pack 275i Elec. - W</t>
        </is>
      </c>
    </row>
    <row r="218">
      <c r="A218" t="inlineStr">
        <is>
          <t>12262237-Welding Machine - 4 Pack 275i Elec. - M</t>
        </is>
      </c>
    </row>
    <row r="219">
      <c r="A219" t="inlineStr">
        <is>
          <t>12262238-Welding Machine - 6 Pack Electric - D</t>
        </is>
      </c>
    </row>
    <row r="220">
      <c r="A220" t="inlineStr">
        <is>
          <t>12262239-Welding Machine - 6 Pack Electric - M</t>
        </is>
      </c>
    </row>
    <row r="221">
      <c r="A221" t="inlineStr">
        <is>
          <t>12262240-Welding Machine - 350 High Freq. - D</t>
        </is>
      </c>
    </row>
    <row r="222">
      <c r="A222" t="inlineStr">
        <is>
          <t>12262241-Welding Machine - 350 High Freq. - W</t>
        </is>
      </c>
    </row>
    <row r="223">
      <c r="A223" t="inlineStr">
        <is>
          <t>12262242-Welding Machine - 350 High Freq. - M</t>
        </is>
      </c>
    </row>
    <row r="224">
      <c r="A224" t="inlineStr">
        <is>
          <t>12262243-Welding Machine - Remote 100FT - D</t>
        </is>
      </c>
    </row>
    <row r="225">
      <c r="A225" t="inlineStr">
        <is>
          <t>12262244-Welding Machine - Remote 100FT - M</t>
        </is>
      </c>
    </row>
    <row r="226">
      <c r="A226" t="inlineStr">
        <is>
          <t>12262245-Wrench - Striking - 2-3/8" Thru 3" - D</t>
        </is>
      </c>
    </row>
    <row r="227">
      <c r="A227" t="inlineStr">
        <is>
          <t>12262246-Wrench - Striking - 2-3/8" Thru 3" - W</t>
        </is>
      </c>
    </row>
    <row r="228">
      <c r="A228" t="inlineStr">
        <is>
          <t>12262247-Wrench - Striking - 2-3/8" Thru 3" - M</t>
        </is>
      </c>
    </row>
    <row r="229">
      <c r="A229" t="inlineStr">
        <is>
          <t>12262248-Wrench - Combo - 2-3/8" Thru 3" - D</t>
        </is>
      </c>
    </row>
    <row r="230">
      <c r="A230" t="inlineStr">
        <is>
          <t>12262249-Wrench - Combo - 2-3/8" Thru 3" - W</t>
        </is>
      </c>
    </row>
    <row r="231">
      <c r="A231" t="inlineStr">
        <is>
          <t>12262250-Wrench - Combo - 2-3/8" Thru 3" - M</t>
        </is>
      </c>
    </row>
    <row r="232">
      <c r="A232" t="inlineStr">
        <is>
          <t>12262251-Beam Trolley - Up to 10 Ton - D</t>
        </is>
      </c>
    </row>
    <row r="233">
      <c r="A233" t="inlineStr">
        <is>
          <t>12262252-Beam Trolley - Up to 10 Ton - W</t>
        </is>
      </c>
    </row>
    <row r="234">
      <c r="A234" t="inlineStr">
        <is>
          <t>12262253-Beam Trolley - Up to 10 Ton - M</t>
        </is>
      </c>
    </row>
    <row r="235">
      <c r="A235" t="inlineStr">
        <is>
          <t>12262254-Chainfall - Up to 5 Ton - D</t>
        </is>
      </c>
    </row>
    <row r="236">
      <c r="A236" t="inlineStr">
        <is>
          <t>12262255-Chainfall - Up to 5 Ton - W</t>
        </is>
      </c>
    </row>
    <row r="237">
      <c r="A237" t="inlineStr">
        <is>
          <t>12262256-Chainfall - Up to 5 Ton - M</t>
        </is>
      </c>
    </row>
    <row r="238">
      <c r="A238" t="inlineStr">
        <is>
          <t>12262257-ComeAlong - Up to 3 Ton - D</t>
        </is>
      </c>
    </row>
    <row r="239">
      <c r="A239" t="inlineStr">
        <is>
          <t>12262258-ComeAlong - Up to 3 Ton - W</t>
        </is>
      </c>
    </row>
    <row r="240">
      <c r="A240" t="inlineStr">
        <is>
          <t>12262259-ComeAlong - Up to 3 Ton - M</t>
        </is>
      </c>
    </row>
    <row r="241">
      <c r="A241" t="inlineStr">
        <is>
          <t>12262260-Impact Gun-3/4" c/w Sockets Up To 2-3/8" - D</t>
        </is>
      </c>
    </row>
    <row r="242">
      <c r="A242" t="inlineStr">
        <is>
          <t>12262261-Impact Gun-3/4" c/w Sockets Up To 2-3/8" - W</t>
        </is>
      </c>
    </row>
    <row r="243">
      <c r="A243" t="inlineStr">
        <is>
          <t>12262262-Impact Gun-3/4" c/w Sockets Up To 2-3/8" - M</t>
        </is>
      </c>
    </row>
    <row r="244">
      <c r="A244" t="inlineStr">
        <is>
          <t>12262263-Impact Gun-1" c/w Sockets Up To 2-3/8" - D</t>
        </is>
      </c>
    </row>
    <row r="245">
      <c r="A245" t="inlineStr">
        <is>
          <t>12262264-Impact Gun-1" c/w Sockets Up To 2-3/8" - W</t>
        </is>
      </c>
    </row>
    <row r="246">
      <c r="A246" t="inlineStr">
        <is>
          <t>12262265-Impact Gun-1" c/w Sockets Up To 2-3/8" - M</t>
        </is>
      </c>
    </row>
    <row r="247">
      <c r="A247" t="inlineStr">
        <is>
          <t>12262266-Impact Gun-1-1/2" c/w Sockets Up To 2-3/8" - D</t>
        </is>
      </c>
    </row>
    <row r="248">
      <c r="A248" t="inlineStr">
        <is>
          <t>12262267-Impact Gun-1-1/2" c/w Sockets Up To 2-3/8" - W</t>
        </is>
      </c>
    </row>
    <row r="249">
      <c r="A249" t="inlineStr">
        <is>
          <t>12262268-Impact Gun-1-1/2" c/w Sockets Up To 2-3/8" - M</t>
        </is>
      </c>
    </row>
    <row r="250">
      <c r="A250" t="inlineStr">
        <is>
          <t>12262269-Saw - Reciprocating - D</t>
        </is>
      </c>
    </row>
    <row r="251">
      <c r="A251" t="inlineStr">
        <is>
          <t>12262270-Hammer Drill - SDS Plus - D</t>
        </is>
      </c>
    </row>
    <row r="252">
      <c r="A252" t="inlineStr">
        <is>
          <t>12262277-Flange Alignment Kit - 3/4" Thru 1-3/8" - D</t>
        </is>
      </c>
    </row>
    <row r="253">
      <c r="A253" t="inlineStr">
        <is>
          <t>12262278-Flange Alignment Kit - 3/4" Thru 1-3/8" - W</t>
        </is>
      </c>
    </row>
    <row r="254">
      <c r="A254" t="inlineStr">
        <is>
          <t>12262279-Flange Alignment Kit - 3/4" Thru 1-3/8" - M</t>
        </is>
      </c>
    </row>
    <row r="255">
      <c r="A255" t="inlineStr">
        <is>
          <t>12262280-Pipe Beveller - 22" Thru 36" (Band/Crawler/Torch) - D</t>
        </is>
      </c>
    </row>
    <row r="256">
      <c r="A256" t="inlineStr">
        <is>
          <t>12262281-Pipe Beveller - 22" Thru 36" (Band/Crawler/Torch) - W</t>
        </is>
      </c>
    </row>
    <row r="257">
      <c r="A257" t="inlineStr">
        <is>
          <t>12262282-Pipe Beveller - 22" Thru 36" (Band/Crawler/Torch) - M</t>
        </is>
      </c>
    </row>
    <row r="258">
      <c r="A258" t="inlineStr">
        <is>
          <t>12262283-Pipe CounterBore Module - Wachs 3" Module - D</t>
        </is>
      </c>
    </row>
    <row r="259">
      <c r="A259" t="inlineStr">
        <is>
          <t>12262284-Pipe CounterBore Module - Wachs 3" Module - W</t>
        </is>
      </c>
    </row>
    <row r="260">
      <c r="A260" t="inlineStr">
        <is>
          <t>12262285-Pipe Cutter/Beveller - Wachs Air 1016 Split Frame - D</t>
        </is>
      </c>
    </row>
    <row r="261">
      <c r="A261" t="inlineStr">
        <is>
          <t>12262286-Pipe Cutter/Beveller - Wachs Air 1016 Split Frame - W</t>
        </is>
      </c>
    </row>
    <row r="262">
      <c r="A262" t="inlineStr">
        <is>
          <t>12262287-Pipe Cutter/Beveller - Wachs Air 1824 Split Frame - D</t>
        </is>
      </c>
    </row>
    <row r="263">
      <c r="A263" t="inlineStr">
        <is>
          <t>12262289-Pipe Cutter/Beveller - Wachs Air 610 Split Frame - D</t>
        </is>
      </c>
    </row>
    <row r="264">
      <c r="A264" t="inlineStr">
        <is>
          <t>12262290-Pipe Cutter/Beveller - Wachs Air 610 Split Frame - W</t>
        </is>
      </c>
    </row>
    <row r="265">
      <c r="A265" t="inlineStr">
        <is>
          <t>12262291-Pipe Cutter/Beveller ATM Oiler - Air Treatment Module - D</t>
        </is>
      </c>
    </row>
    <row r="266">
      <c r="A266" t="inlineStr">
        <is>
          <t>12262292-Pipe Cutter/Beveller ATM Oiler - Air Treatment Module - W</t>
        </is>
      </c>
    </row>
    <row r="267">
      <c r="A267" t="inlineStr">
        <is>
          <t>12262293-SeaCan - 8'x8'40' Insulator Fabrication Workshop - D</t>
        </is>
      </c>
    </row>
    <row r="268">
      <c r="A268" t="inlineStr">
        <is>
          <t>12262294-SeaCan - 8'x8'40' Insulator Fabrication Workshop - W</t>
        </is>
      </c>
    </row>
    <row r="269">
      <c r="A269" t="inlineStr">
        <is>
          <t>12262295-SeaCan - 8'x8'40' Insulator Fabrication Workshop - M</t>
        </is>
      </c>
    </row>
    <row r="270">
      <c r="A270" t="inlineStr">
        <is>
          <t>12262296-SeaCan - 8'x8'40' With Lighting And Shelving - D</t>
        </is>
      </c>
    </row>
    <row r="271">
      <c r="A271" t="inlineStr">
        <is>
          <t>12262297-SeaCan - 8'x8'40' With Lighting And Shelving - W</t>
        </is>
      </c>
    </row>
    <row r="272">
      <c r="A272" t="inlineStr">
        <is>
          <t>12262298-SeaCan - 8'x8'40' With Lighting And Shelving - M</t>
        </is>
      </c>
    </row>
    <row r="273">
      <c r="A273" t="inlineStr">
        <is>
          <t>12262299-Threading Machine - 300 Ridgid Power Drive - D</t>
        </is>
      </c>
    </row>
    <row r="274">
      <c r="A274" t="inlineStr">
        <is>
          <t>12262300-Threading Machine - 300 Ridgid Power Drive - W</t>
        </is>
      </c>
    </row>
    <row r="275">
      <c r="A275" t="inlineStr">
        <is>
          <t>12262301-Threading Machine - 300 Ridgid Power Drive - M</t>
        </is>
      </c>
    </row>
    <row r="276">
      <c r="A276" t="inlineStr">
        <is>
          <t>12262302-Threading Machine Pipe Groover - Ridgid #918 (2"-12") - D</t>
        </is>
      </c>
    </row>
    <row r="277">
      <c r="A277" t="inlineStr">
        <is>
          <t>12262303-Threading Machine Pipe Groover - Ridgid #918 (2"-12") - W</t>
        </is>
      </c>
    </row>
    <row r="278">
      <c r="A278" t="inlineStr">
        <is>
          <t>12262304-Threading Machine Pipe Groover - Ridgid #918 (2"-12") - M</t>
        </is>
      </c>
    </row>
    <row r="279">
      <c r="A279" t="inlineStr">
        <is>
          <t>12262305-SeaCan - 8'x8'20' With Lighting And Shelving - D</t>
        </is>
      </c>
    </row>
    <row r="280">
      <c r="A280" t="inlineStr">
        <is>
          <t>12262306-SeaCan - 8'x8'20' With Lighting And Shelving - W</t>
        </is>
      </c>
    </row>
    <row r="281">
      <c r="A281" t="inlineStr">
        <is>
          <t>12262307-SeaCan - 8'x8'20' With Lighting And Shelving - M</t>
        </is>
      </c>
    </row>
    <row r="282">
      <c r="A282" t="inlineStr">
        <is>
          <t>12263001-1/2T Truck - H</t>
        </is>
      </c>
    </row>
    <row r="283">
      <c r="A283" t="inlineStr">
        <is>
          <t>12263009-Forklift Diesel Rough Terrain up to 8000lbs - D</t>
        </is>
      </c>
    </row>
    <row r="284">
      <c r="A284" t="inlineStr">
        <is>
          <t>12263010-Forklift Diesel Rough Terrain up to 8000lbs - W</t>
        </is>
      </c>
    </row>
    <row r="285">
      <c r="A285" t="inlineStr">
        <is>
          <t>12263011-Forklift Diesel Rough Terrain up to 8000lbs - M</t>
        </is>
      </c>
    </row>
    <row r="286">
      <c r="A286" t="inlineStr">
        <is>
          <t>12263013-Forklift Gas Propane Up to 5000lbs - D</t>
        </is>
      </c>
    </row>
    <row r="287">
      <c r="A287" t="inlineStr">
        <is>
          <t>12263014-Forklift Gas Propane Up to 5000lbs - W</t>
        </is>
      </c>
    </row>
    <row r="288">
      <c r="A288" t="inlineStr">
        <is>
          <t>12263015-Forklift Gas Propane Up to 5000lbs - M</t>
        </is>
      </c>
    </row>
    <row r="289">
      <c r="A289" t="inlineStr">
        <is>
          <t>12263019-Forklift 5000 LB Telehandler 18FT Reach - D</t>
        </is>
      </c>
    </row>
    <row r="290">
      <c r="A290" t="inlineStr">
        <is>
          <t>12263020-Forklift 5000 LB Telehandler 18FT Reach - W</t>
        </is>
      </c>
    </row>
    <row r="291">
      <c r="A291" t="inlineStr">
        <is>
          <t>12263022-Forklift 5000 LB Telehandler 18FT Reach - M</t>
        </is>
      </c>
    </row>
    <row r="292">
      <c r="A292" t="inlineStr">
        <is>
          <t>12263023-Forklift 10000 LB Telehandler 55FT Reach - D</t>
        </is>
      </c>
    </row>
    <row r="293">
      <c r="A293" t="inlineStr">
        <is>
          <t>12263024-Forklift 10000 LB Telehandler 55FT Reach - W</t>
        </is>
      </c>
    </row>
    <row r="294">
      <c r="A294" t="inlineStr">
        <is>
          <t>12263025-Forklift 10000 LB Telehandler 55FT Reach - M</t>
        </is>
      </c>
    </row>
    <row r="295">
      <c r="A295" t="inlineStr">
        <is>
          <t>12263026-Forklift - Delivery/Return Freight</t>
        </is>
      </c>
    </row>
    <row r="296">
      <c r="A296" t="inlineStr">
        <is>
          <t>12263027-Golf Cart - 2 Passenger + Rear Seat (Fuel Incl) - W</t>
        </is>
      </c>
    </row>
    <row r="297">
      <c r="A297" t="inlineStr">
        <is>
          <t>12263028-Golf Cart - 2 Passenger + Rear Seat (Fuel Incl) - M</t>
        </is>
      </c>
    </row>
    <row r="298">
      <c r="A298" t="inlineStr">
        <is>
          <t>12263029-Golf Cart - Utility - W</t>
        </is>
      </c>
    </row>
    <row r="299">
      <c r="A299" t="inlineStr">
        <is>
          <t>12263030-Golf Cart - Utility - M</t>
        </is>
      </c>
    </row>
    <row r="300">
      <c r="A300" t="inlineStr">
        <is>
          <t>12263031-Kubota RTV - Diesel (Fuel Incl) - D</t>
        </is>
      </c>
    </row>
    <row r="301">
      <c r="A301" t="inlineStr">
        <is>
          <t>12263032-Golf Cart - Delivery/Return Freight</t>
        </is>
      </c>
    </row>
    <row r="302">
      <c r="A302" t="inlineStr">
        <is>
          <t>12263033-Kubota RTV - Diesel (Fuel Incl) - W</t>
        </is>
      </c>
    </row>
    <row r="303">
      <c r="A303" t="inlineStr">
        <is>
          <t>12263034-Kubota RTV - Diesel (Fuel Incl) - M</t>
        </is>
      </c>
    </row>
    <row r="304">
      <c r="A304" t="inlineStr">
        <is>
          <t>12263035-Kubota RTV - Delivery/Return Freight</t>
        </is>
      </c>
    </row>
    <row r="305">
      <c r="A305" t="inlineStr">
        <is>
          <t>12263036-Manlift - 30' Artic Electric - D</t>
        </is>
      </c>
    </row>
    <row r="306">
      <c r="A306" t="inlineStr">
        <is>
          <t>12263037-Manlift - 30' Artic Electric - W</t>
        </is>
      </c>
    </row>
    <row r="307">
      <c r="A307" t="inlineStr">
        <is>
          <t>12263038-Manlift - 30' Artic Electric - M</t>
        </is>
      </c>
    </row>
    <row r="308">
      <c r="A308" t="inlineStr">
        <is>
          <t>12263039-Manlift - 45' Artic 4wd (Fuel Incl) - D</t>
        </is>
      </c>
    </row>
    <row r="309">
      <c r="A309" t="inlineStr">
        <is>
          <t>12263040-Manlift - 45' Artic 4wd (Fuel Incl) - W</t>
        </is>
      </c>
    </row>
    <row r="310">
      <c r="A310" t="inlineStr">
        <is>
          <t>12263041-Manlift - 45' Artic 4wd (Fuel Incl) - M</t>
        </is>
      </c>
    </row>
    <row r="311">
      <c r="A311" t="inlineStr">
        <is>
          <t>12263042-Manlift - 80' Artic 4wd (Fuel Incl) - D</t>
        </is>
      </c>
    </row>
    <row r="312">
      <c r="A312" t="inlineStr">
        <is>
          <t>12263043-Manlift - 80' Artic 4wd (Fuel Incl) - W</t>
        </is>
      </c>
    </row>
    <row r="313">
      <c r="A313" t="inlineStr">
        <is>
          <t>12263044-Manlift - 80' Artic 4wd (Fuel Incl) - M</t>
        </is>
      </c>
    </row>
    <row r="314">
      <c r="A314" t="inlineStr">
        <is>
          <t>12263045-Manlift - 125' Artic 4wd (Fuel Incl) - D</t>
        </is>
      </c>
    </row>
    <row r="315">
      <c r="A315" t="inlineStr">
        <is>
          <t>12263046-Manlift - 125' Artic 4wd (Fuel Incl) - W</t>
        </is>
      </c>
    </row>
    <row r="316">
      <c r="A316" t="inlineStr">
        <is>
          <t>12263047-Manlift - 125' Artic 4wd (Fuel Incl) - M</t>
        </is>
      </c>
    </row>
    <row r="317">
      <c r="A317" t="inlineStr">
        <is>
          <t>12263048-Manlift - Delivery/Return Freight</t>
        </is>
      </c>
    </row>
    <row r="318">
      <c r="A318" t="inlineStr">
        <is>
          <t>12263049-Scissor Lift - 19FT Platform Height DC - D</t>
        </is>
      </c>
    </row>
    <row r="319">
      <c r="A319" t="inlineStr">
        <is>
          <t>12263050-Scissor Lift - 19FT Platform Height DC - W</t>
        </is>
      </c>
    </row>
    <row r="320">
      <c r="A320" t="inlineStr">
        <is>
          <t>12263051-Scissor Lift - 19FT Platform Height DC - M</t>
        </is>
      </c>
    </row>
    <row r="321">
      <c r="A321" t="inlineStr">
        <is>
          <t>12263052-Scissor Lift - 26FT Platform Height DC - D</t>
        </is>
      </c>
    </row>
    <row r="322">
      <c r="A322" t="inlineStr">
        <is>
          <t>12263053-Scissor Lift - 26FT Platform Height DC - W</t>
        </is>
      </c>
    </row>
    <row r="323">
      <c r="A323" t="inlineStr">
        <is>
          <t>12263054-Scissor Lift - 26FT Platform Height DC - M</t>
        </is>
      </c>
    </row>
    <row r="324">
      <c r="A324" t="inlineStr">
        <is>
          <t>12263055-Scissor Lift - 32FT Platform Height DC - D</t>
        </is>
      </c>
    </row>
    <row r="325">
      <c r="A325" t="inlineStr">
        <is>
          <t>12263056-Scissor Lift - 32FT Platform Height DC - W</t>
        </is>
      </c>
    </row>
    <row r="326">
      <c r="A326" t="inlineStr">
        <is>
          <t>12263057-Scissor Lift - 32FT Platform Height DC - M</t>
        </is>
      </c>
    </row>
    <row r="327">
      <c r="A327" t="inlineStr">
        <is>
          <t>12263058-Scissor Lift - 27FT Gas/LP/Diesel Rough Terrain - D</t>
        </is>
      </c>
    </row>
    <row r="328">
      <c r="A328" t="inlineStr">
        <is>
          <t>12263059-Scissor Lift - 27FT Gas/LP/Diesel Rough Terrain - W</t>
        </is>
      </c>
    </row>
    <row r="329">
      <c r="A329" t="inlineStr">
        <is>
          <t>12263060-Scissor Lift - 27FT Gas/LP/Diesel Rough Terrain - M</t>
        </is>
      </c>
    </row>
    <row r="330">
      <c r="A330" t="inlineStr">
        <is>
          <t>12263061-Scissor Lift - 40FT Gas/LP/Diesel Rough Terrain - D</t>
        </is>
      </c>
    </row>
    <row r="331">
      <c r="A331" t="inlineStr">
        <is>
          <t>12263062-Scissor Lift - 40FT Gas/LP/Diesel Rough Terrain - W</t>
        </is>
      </c>
    </row>
    <row r="332">
      <c r="A332" t="inlineStr">
        <is>
          <t>12263063-Scissor Lift - 40FT Gas/LP/Diesel Rough Terrain - M</t>
        </is>
      </c>
    </row>
    <row r="333">
      <c r="A333" t="inlineStr">
        <is>
          <t>12263064-Scissor Lift - 50FT Gas/LP/Diesel Rough Terrain - D</t>
        </is>
      </c>
    </row>
    <row r="334">
      <c r="A334" t="inlineStr">
        <is>
          <t>12263065-Scissor Lift - 50FT Gas/LP/Diesel Rough Terrain - W</t>
        </is>
      </c>
    </row>
    <row r="335">
      <c r="A335" t="inlineStr">
        <is>
          <t>12263066-Scissor Lift - 50FT Gas/LP/Diesel Rough Terrain - M</t>
        </is>
      </c>
    </row>
    <row r="336">
      <c r="A336" t="inlineStr">
        <is>
          <t>12263067-Scissor Lift - Delivery/Return Freight</t>
        </is>
      </c>
    </row>
    <row r="337">
      <c r="A337" t="inlineStr">
        <is>
          <t>12263068-Van - 12 Passenger Shuttle - D</t>
        </is>
      </c>
    </row>
    <row r="338">
      <c r="A338" t="inlineStr">
        <is>
          <t>12263069-Van - 12 Passenger Shuttle - W</t>
        </is>
      </c>
    </row>
    <row r="339">
      <c r="A339" t="inlineStr">
        <is>
          <t>12263070-Van - 12 Passenger Shuttle - M</t>
        </is>
      </c>
    </row>
    <row r="340">
      <c r="A340" t="inlineStr">
        <is>
          <t>12263108-Weld Rig Truck - D</t>
        </is>
      </c>
    </row>
    <row r="341">
      <c r="A341" t="inlineStr">
        <is>
          <t>12263110-Truck - Fuel/Delivery 1-Ton + - H</t>
        </is>
      </c>
    </row>
    <row r="342">
      <c r="A342" t="inlineStr">
        <is>
          <t>12263112-Sea-Can - Delivery/Return Freight - 20FT</t>
        </is>
      </c>
    </row>
    <row r="343">
      <c r="A343" t="inlineStr">
        <is>
          <t>12263113-Sea-Can - Delivery/Return Freight - 40FT</t>
        </is>
      </c>
    </row>
    <row r="344">
      <c r="A344" t="inlineStr">
        <is>
          <t>12950000-Wood Skid - 4"x6"x4' - D</t>
        </is>
      </c>
    </row>
    <row r="345">
      <c r="A345" t="inlineStr">
        <is>
          <t>12950001-Wood Skid - 4"x6"x4' - W</t>
        </is>
      </c>
    </row>
    <row r="346">
      <c r="A346" t="inlineStr">
        <is>
          <t>12950002-Wood Skid - 4"x6"x4' - M</t>
        </is>
      </c>
    </row>
    <row r="347">
      <c r="A347" t="inlineStr">
        <is>
          <t>12952052-Bottled Water</t>
        </is>
      </c>
    </row>
    <row r="348">
      <c r="A348" t="inlineStr">
        <is>
          <t>12952053-Ice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90"/>
  <sheetViews>
    <sheetView workbookViewId="0">
      <selection activeCell="A12" sqref="A12"/>
    </sheetView>
  </sheetViews>
  <sheetFormatPr baseColWidth="8" defaultRowHeight="14.4"/>
  <cols>
    <col width="32.33203125" bestFit="1" customWidth="1" min="1" max="1"/>
  </cols>
  <sheetData>
    <row r="1">
      <c r="A1" t="inlineStr">
        <is>
          <t>Companies</t>
        </is>
      </c>
    </row>
    <row r="3">
      <c r="A3" t="inlineStr">
        <is>
          <t>3DS techno</t>
        </is>
      </c>
    </row>
    <row r="4">
      <c r="A4" t="inlineStr">
        <is>
          <t>AITX Railc</t>
        </is>
      </c>
    </row>
    <row r="5">
      <c r="A5" t="inlineStr">
        <is>
          <t>ARLANXEO C</t>
        </is>
      </c>
    </row>
    <row r="6">
      <c r="A6" t="inlineStr">
        <is>
          <t>Aamjiwnaan</t>
        </is>
      </c>
    </row>
    <row r="7">
      <c r="A7" t="inlineStr">
        <is>
          <t>Accurcast</t>
        </is>
      </c>
    </row>
    <row r="8">
      <c r="A8" t="inlineStr">
        <is>
          <t>Ainsworth</t>
        </is>
      </c>
    </row>
    <row r="9">
      <c r="A9" t="inlineStr">
        <is>
          <t>Air Produc</t>
        </is>
      </c>
    </row>
    <row r="10">
      <c r="A10" t="inlineStr">
        <is>
          <t>Algoma Ship Tech.</t>
        </is>
      </c>
    </row>
    <row r="11">
      <c r="A11" t="inlineStr">
        <is>
          <t>Alliance Fabrication</t>
        </is>
      </c>
    </row>
    <row r="12">
      <c r="A12" t="inlineStr">
        <is>
          <t>Anderson -</t>
        </is>
      </c>
    </row>
    <row r="13">
      <c r="A13" t="inlineStr">
        <is>
          <t>BWXT</t>
        </is>
      </c>
    </row>
    <row r="14">
      <c r="A14" t="inlineStr">
        <is>
          <t>CABOT CORP</t>
        </is>
      </c>
    </row>
    <row r="15">
      <c r="A15" t="inlineStr">
        <is>
          <t>CF Industries</t>
        </is>
      </c>
    </row>
    <row r="16">
      <c r="A16" t="inlineStr">
        <is>
          <t>CMF Group</t>
        </is>
      </c>
    </row>
    <row r="17">
      <c r="A17" t="inlineStr">
        <is>
          <t>CMM</t>
        </is>
      </c>
    </row>
    <row r="18">
      <c r="A18" t="inlineStr">
        <is>
          <t>City of London</t>
        </is>
      </c>
    </row>
    <row r="19">
      <c r="A19" t="inlineStr">
        <is>
          <t>Conagra Brands</t>
        </is>
      </c>
    </row>
    <row r="20">
      <c r="A20" t="inlineStr">
        <is>
          <t>Contro Val</t>
        </is>
      </c>
    </row>
    <row r="21">
      <c r="A21" t="inlineStr">
        <is>
          <t>Cope Const</t>
        </is>
      </c>
    </row>
    <row r="22">
      <c r="A22" t="inlineStr">
        <is>
          <t>Curran Con</t>
        </is>
      </c>
    </row>
    <row r="23">
      <c r="A23" t="inlineStr">
        <is>
          <t>Curran Con-2</t>
        </is>
      </c>
    </row>
    <row r="24">
      <c r="A24" t="inlineStr">
        <is>
          <t>DeltaTHeat</t>
        </is>
      </c>
    </row>
    <row r="25">
      <c r="A25" t="inlineStr">
        <is>
          <t>DiCocco Co</t>
        </is>
      </c>
    </row>
    <row r="26">
      <c r="A26" t="inlineStr">
        <is>
          <t>Diamond</t>
        </is>
      </c>
    </row>
    <row r="27">
      <c r="A27" t="inlineStr">
        <is>
          <t>Dixin Customer</t>
        </is>
      </c>
    </row>
    <row r="28">
      <c r="A28" t="inlineStr">
        <is>
          <t>Dow Chemic</t>
        </is>
      </c>
    </row>
    <row r="29">
      <c r="A29" t="inlineStr">
        <is>
          <t>Eastern Power</t>
        </is>
      </c>
    </row>
    <row r="30">
      <c r="A30" t="inlineStr">
        <is>
          <t>EcoLab</t>
        </is>
      </c>
    </row>
    <row r="31">
      <c r="A31" t="inlineStr">
        <is>
          <t>Enbridge G</t>
        </is>
      </c>
    </row>
    <row r="32">
      <c r="A32" t="inlineStr">
        <is>
          <t>Enbridge P</t>
        </is>
      </c>
    </row>
    <row r="33">
      <c r="A33" t="inlineStr">
        <is>
          <t>EthosEnerg</t>
        </is>
      </c>
    </row>
    <row r="34">
      <c r="A34" t="inlineStr">
        <is>
          <t>GOODFELLOW</t>
        </is>
      </c>
    </row>
    <row r="35">
      <c r="A35" t="inlineStr">
        <is>
          <t>GREENFIELD GLOBAL</t>
        </is>
      </c>
    </row>
    <row r="36">
      <c r="A36" t="inlineStr">
        <is>
          <t>Graham</t>
        </is>
      </c>
    </row>
    <row r="37">
      <c r="A37" t="inlineStr">
        <is>
          <t>Greenfield</t>
        </is>
      </c>
    </row>
    <row r="38">
      <c r="A38" t="inlineStr">
        <is>
          <t>H. C. Starck Canada</t>
        </is>
      </c>
    </row>
    <row r="39">
      <c r="A39" t="inlineStr">
        <is>
          <t>HEBE</t>
        </is>
      </c>
    </row>
    <row r="40">
      <c r="A40" t="inlineStr">
        <is>
          <t>ICT Indust</t>
        </is>
      </c>
    </row>
    <row r="41">
      <c r="A41" t="inlineStr">
        <is>
          <t>INEOS Styr</t>
        </is>
      </c>
    </row>
    <row r="42">
      <c r="A42" t="inlineStr">
        <is>
          <t>IOL Sarnia</t>
        </is>
      </c>
    </row>
    <row r="43">
      <c r="A43" t="inlineStr">
        <is>
          <t>ITS - Vendor</t>
        </is>
      </c>
    </row>
    <row r="44">
      <c r="A44" t="inlineStr">
        <is>
          <t>IWA TEST - DNU</t>
        </is>
      </c>
    </row>
    <row r="45">
      <c r="A45" t="inlineStr">
        <is>
          <t>Ingredion</t>
        </is>
      </c>
    </row>
    <row r="46">
      <c r="A46" t="inlineStr">
        <is>
          <t>Insitu Mac</t>
        </is>
      </c>
    </row>
    <row r="47">
      <c r="A47" t="inlineStr">
        <is>
          <t>Interface Testing Services-2</t>
        </is>
      </c>
    </row>
    <row r="48">
      <c r="A48" t="inlineStr">
        <is>
          <t>Lambton College</t>
        </is>
      </c>
    </row>
    <row r="49">
      <c r="A49" t="inlineStr">
        <is>
          <t>Linde</t>
        </is>
      </c>
    </row>
    <row r="50">
      <c r="A50" t="inlineStr">
        <is>
          <t>MN Mechanical</t>
        </is>
      </c>
    </row>
    <row r="51">
      <c r="A51" t="inlineStr">
        <is>
          <t>Maaten</t>
        </is>
      </c>
    </row>
    <row r="52">
      <c r="A52" t="inlineStr">
        <is>
          <t>NOVA Corunna</t>
        </is>
      </c>
    </row>
    <row r="53">
      <c r="A53" t="inlineStr">
        <is>
          <t>NOVA Moore</t>
        </is>
      </c>
    </row>
    <row r="54">
      <c r="A54" t="inlineStr">
        <is>
          <t>NOVA Rokeby</t>
        </is>
      </c>
    </row>
    <row r="55">
      <c r="A55" t="inlineStr">
        <is>
          <t>NOVA Rokeby MAINTENANCE</t>
        </is>
      </c>
    </row>
    <row r="56">
      <c r="A56" t="inlineStr">
        <is>
          <t>NOVA St Clair</t>
        </is>
      </c>
    </row>
    <row r="57">
      <c r="A57" t="inlineStr">
        <is>
          <t>NPL Canada</t>
        </is>
      </c>
    </row>
    <row r="58">
      <c r="A58" t="inlineStr">
        <is>
          <t>Nova Chemi</t>
        </is>
      </c>
    </row>
    <row r="59">
      <c r="A59" t="inlineStr">
        <is>
          <t>OWS Railro-2</t>
        </is>
      </c>
    </row>
    <row r="60">
      <c r="A60" t="inlineStr">
        <is>
          <t>Ogilvie El</t>
        </is>
      </c>
    </row>
    <row r="61">
      <c r="A61" t="inlineStr">
        <is>
          <t>Ontario Clean Water Agency</t>
        </is>
      </c>
    </row>
    <row r="62">
      <c r="A62" t="inlineStr">
        <is>
          <t>PCG</t>
        </is>
      </c>
    </row>
    <row r="63">
      <c r="A63" t="inlineStr">
        <is>
          <t>PTW Energy</t>
        </is>
      </c>
    </row>
    <row r="64">
      <c r="A64" t="inlineStr">
        <is>
          <t>Path Envir</t>
        </is>
      </c>
    </row>
    <row r="65">
      <c r="A65" t="inlineStr">
        <is>
          <t>Pcl Constr</t>
        </is>
      </c>
    </row>
    <row r="66">
      <c r="A66" t="inlineStr">
        <is>
          <t>Plains Midstream Canada</t>
        </is>
      </c>
    </row>
    <row r="67">
      <c r="A67" t="inlineStr">
        <is>
          <t>Procor Lim</t>
        </is>
      </c>
    </row>
    <row r="68">
      <c r="A68" t="inlineStr">
        <is>
          <t>Rally Engi</t>
        </is>
      </c>
    </row>
    <row r="69">
      <c r="A69" t="inlineStr">
        <is>
          <t>Rankin Const</t>
        </is>
      </c>
    </row>
    <row r="70">
      <c r="A70" t="inlineStr">
        <is>
          <t>Royal Cani</t>
        </is>
      </c>
    </row>
    <row r="71">
      <c r="A71" t="inlineStr">
        <is>
          <t>Sarnia Plumbing</t>
        </is>
      </c>
    </row>
    <row r="72">
      <c r="A72" t="inlineStr">
        <is>
          <t>Shell Canada Limited</t>
        </is>
      </c>
    </row>
    <row r="73">
      <c r="A73" t="inlineStr">
        <is>
          <t>Somerville</t>
        </is>
      </c>
    </row>
    <row r="74">
      <c r="A74" t="inlineStr">
        <is>
          <t>Suncor Ethanol</t>
        </is>
      </c>
    </row>
    <row r="75">
      <c r="A75" t="inlineStr">
        <is>
          <t>Suncor Sarnia-2</t>
        </is>
      </c>
    </row>
    <row r="76">
      <c r="A76" t="inlineStr">
        <is>
          <t>Suncor VENDOR</t>
        </is>
      </c>
    </row>
    <row r="77">
      <c r="A77" t="inlineStr">
        <is>
          <t>TKO Indust</t>
        </is>
      </c>
    </row>
    <row r="78">
      <c r="A78" t="inlineStr">
        <is>
          <t>The Machining Group</t>
        </is>
      </c>
    </row>
    <row r="79">
      <c r="A79" t="inlineStr">
        <is>
          <t>Thorcan</t>
        </is>
      </c>
    </row>
    <row r="80">
      <c r="A80" t="inlineStr">
        <is>
          <t>Trade-Mark</t>
        </is>
      </c>
    </row>
    <row r="81">
      <c r="A81" t="inlineStr">
        <is>
          <t>TransAlta</t>
        </is>
      </c>
    </row>
    <row r="82">
      <c r="A82" t="inlineStr">
        <is>
          <t>Trillium</t>
        </is>
      </c>
    </row>
    <row r="83">
      <c r="A83" t="inlineStr">
        <is>
          <t>University of Guelph</t>
        </is>
      </c>
    </row>
    <row r="84">
      <c r="A84" t="inlineStr">
        <is>
          <t>Utility Global</t>
        </is>
      </c>
    </row>
    <row r="85">
      <c r="A85" t="inlineStr">
        <is>
          <t>VIP</t>
        </is>
      </c>
    </row>
    <row r="86">
      <c r="A86" t="inlineStr">
        <is>
          <t>WSP</t>
        </is>
      </c>
    </row>
    <row r="87">
      <c r="A87" t="inlineStr">
        <is>
          <t>Wolverine</t>
        </is>
      </c>
    </row>
    <row r="88">
      <c r="A88" t="inlineStr">
        <is>
          <t>Wolverine Engineering Ltd - Vendor</t>
        </is>
      </c>
    </row>
    <row r="89">
      <c r="A89" t="inlineStr">
        <is>
          <t>ZEECO</t>
        </is>
      </c>
    </row>
    <row r="90">
      <c r="A90" t="inlineStr">
        <is>
          <t>idSolution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546"/>
  <sheetViews>
    <sheetView workbookViewId="0">
      <selection activeCell="A10" sqref="A10"/>
    </sheetView>
  </sheetViews>
  <sheetFormatPr baseColWidth="8" defaultRowHeight="14.4"/>
  <cols>
    <col width="33.5546875" bestFit="1" customWidth="1" min="1" max="1"/>
  </cols>
  <sheetData>
    <row r="1">
      <c r="A1" t="inlineStr">
        <is>
          <t>Employees</t>
        </is>
      </c>
    </row>
    <row r="2">
      <c r="A2" t="inlineStr">
        <is>
          <t>Adams, Craig (4736)</t>
        </is>
      </c>
    </row>
    <row r="3">
      <c r="A3" t="inlineStr">
        <is>
          <t>Adams, Robert (1994)</t>
        </is>
      </c>
    </row>
    <row r="4">
      <c r="A4" t="inlineStr">
        <is>
          <t>Ainsworth, Dave (4886)</t>
        </is>
      </c>
    </row>
    <row r="5">
      <c r="A5" t="inlineStr">
        <is>
          <t>Ainsworth, Steve (6706)</t>
        </is>
      </c>
    </row>
    <row r="6">
      <c r="A6" t="inlineStr">
        <is>
          <t>Alexander, John (2239)</t>
        </is>
      </c>
    </row>
    <row r="7">
      <c r="A7" t="inlineStr">
        <is>
          <t>Alexander, Wade (9461)</t>
        </is>
      </c>
    </row>
    <row r="8">
      <c r="A8" t="inlineStr">
        <is>
          <t>Alton, Doug (3625)</t>
        </is>
      </c>
    </row>
    <row r="9">
      <c r="A9" t="inlineStr">
        <is>
          <t>Alway, Rob (3497)</t>
        </is>
      </c>
    </row>
    <row r="10">
      <c r="A10" t="inlineStr">
        <is>
          <t>Amyotte, William (5135)</t>
        </is>
      </c>
    </row>
    <row r="11">
      <c r="A11" t="inlineStr">
        <is>
          <t>Anderson, Robert Wayne (4590)</t>
        </is>
      </c>
    </row>
    <row r="12">
      <c r="A12" t="inlineStr">
        <is>
          <t>Anderson, Skylar (3026)</t>
        </is>
      </c>
    </row>
    <row r="13">
      <c r="A13" t="inlineStr">
        <is>
          <t>Armstrong, Nathan (1205)</t>
        </is>
      </c>
    </row>
    <row r="14">
      <c r="A14" t="inlineStr">
        <is>
          <t>Armstrong, Scott (4099)</t>
        </is>
      </c>
    </row>
    <row r="15">
      <c r="A15" t="inlineStr">
        <is>
          <t>Ayers, Robert (8597)</t>
        </is>
      </c>
    </row>
    <row r="16">
      <c r="A16" t="inlineStr">
        <is>
          <t>Bacon, Brent (0778)</t>
        </is>
      </c>
    </row>
    <row r="17">
      <c r="A17" t="inlineStr">
        <is>
          <t>Bailey, Tyler (4380)</t>
        </is>
      </c>
    </row>
    <row r="18">
      <c r="A18" t="inlineStr">
        <is>
          <t>Baldassarre, Franco (0004)</t>
        </is>
      </c>
    </row>
    <row r="19">
      <c r="A19" t="inlineStr">
        <is>
          <t>Baltzer, James (5014)</t>
        </is>
      </c>
    </row>
    <row r="20">
      <c r="A20" t="inlineStr">
        <is>
          <t>Bansey, Richard (6920)</t>
        </is>
      </c>
    </row>
    <row r="21">
      <c r="A21" t="inlineStr">
        <is>
          <t>Barger, Jamie (2177)</t>
        </is>
      </c>
    </row>
    <row r="22">
      <c r="A22" t="inlineStr">
        <is>
          <t>Barrett, Christina (xxx)</t>
        </is>
      </c>
    </row>
    <row r="23">
      <c r="A23" t="inlineStr">
        <is>
          <t>Barrett, Ken (6947)</t>
        </is>
      </c>
    </row>
    <row r="24">
      <c r="A24" t="inlineStr">
        <is>
          <t>Bastin-Smith, Kolbi (8276)</t>
        </is>
      </c>
    </row>
    <row r="25">
      <c r="A25" t="inlineStr">
        <is>
          <t>Batty, Bryan (9038)</t>
        </is>
      </c>
    </row>
    <row r="26">
      <c r="A26" t="inlineStr">
        <is>
          <t>Beauchamp, Jack (8086)</t>
        </is>
      </c>
    </row>
    <row r="27">
      <c r="A27" t="inlineStr">
        <is>
          <t>Beauchamp, Jean (6719)</t>
        </is>
      </c>
    </row>
    <row r="28">
      <c r="A28" t="inlineStr">
        <is>
          <t>Beauchamp, Jess (4974)</t>
        </is>
      </c>
    </row>
    <row r="29">
      <c r="A29" t="inlineStr">
        <is>
          <t>Beauchamp, Mike (3631)</t>
        </is>
      </c>
    </row>
    <row r="30">
      <c r="A30" t="inlineStr">
        <is>
          <t>Beaudoin, Noah (2524)</t>
        </is>
      </c>
    </row>
    <row r="31">
      <c r="A31" t="inlineStr">
        <is>
          <t>Beland, David (3998)</t>
        </is>
      </c>
    </row>
    <row r="32">
      <c r="A32" t="inlineStr">
        <is>
          <t>Bennett, Jim (1370)</t>
        </is>
      </c>
    </row>
    <row r="33">
      <c r="A33" t="inlineStr">
        <is>
          <t>Bentley, Travis (3345)</t>
        </is>
      </c>
    </row>
    <row r="34">
      <c r="A34" t="inlineStr">
        <is>
          <t>Bergen, Zach (0871)</t>
        </is>
      </c>
    </row>
    <row r="35">
      <c r="A35" t="inlineStr">
        <is>
          <t>Bernier, Nicholas (0570)</t>
        </is>
      </c>
    </row>
    <row r="36">
      <c r="A36" t="inlineStr">
        <is>
          <t>Bertrand, Bryan (2584)</t>
        </is>
      </c>
    </row>
    <row r="37">
      <c r="A37" t="inlineStr">
        <is>
          <t>Bigras, Nicholas (1444)</t>
        </is>
      </c>
    </row>
    <row r="38">
      <c r="A38" t="inlineStr">
        <is>
          <t>Bishop, Bryan (6797)</t>
        </is>
      </c>
    </row>
    <row r="39">
      <c r="A39" t="inlineStr">
        <is>
          <t>Blanchard, Matt (9080)</t>
        </is>
      </c>
    </row>
    <row r="40">
      <c r="A40" t="inlineStr">
        <is>
          <t>Blancher, John (8991)</t>
        </is>
      </c>
    </row>
    <row r="41">
      <c r="A41" t="inlineStr">
        <is>
          <t>Blois, Greg (4514)</t>
        </is>
      </c>
    </row>
    <row r="42">
      <c r="A42" t="inlineStr">
        <is>
          <t>Bodkin, Marty (0591)</t>
        </is>
      </c>
    </row>
    <row r="43">
      <c r="A43" t="inlineStr">
        <is>
          <t>Boire, Robert (5856)</t>
        </is>
      </c>
    </row>
    <row r="44">
      <c r="A44" t="inlineStr">
        <is>
          <t>Bois, Lester (4270)</t>
        </is>
      </c>
    </row>
    <row r="45">
      <c r="A45" t="inlineStr">
        <is>
          <t>Bommarito, Paul (8758)</t>
        </is>
      </c>
    </row>
    <row r="46">
      <c r="A46" t="inlineStr">
        <is>
          <t>Bongers, Brysen (7496)</t>
        </is>
      </c>
    </row>
    <row r="47">
      <c r="A47" t="inlineStr">
        <is>
          <t>Boothe, Danielle (6691)</t>
        </is>
      </c>
    </row>
    <row r="48">
      <c r="A48" t="inlineStr">
        <is>
          <t>Boyle, Tim (3779)</t>
        </is>
      </c>
    </row>
    <row r="49">
      <c r="A49" t="inlineStr">
        <is>
          <t>Bradley, Norm (8796)</t>
        </is>
      </c>
    </row>
    <row r="50">
      <c r="A50" t="inlineStr">
        <is>
          <t>Brady, Gregory (1509)</t>
        </is>
      </c>
    </row>
    <row r="51">
      <c r="A51" t="inlineStr">
        <is>
          <t>Braithwaite, Dawn (7064)</t>
        </is>
      </c>
    </row>
    <row r="52">
      <c r="A52" t="inlineStr">
        <is>
          <t>Brambilla, Alex (6490)</t>
        </is>
      </c>
    </row>
    <row r="53">
      <c r="A53" t="inlineStr">
        <is>
          <t>Brazeau, Steven (6323)</t>
        </is>
      </c>
    </row>
    <row r="54">
      <c r="A54" t="inlineStr">
        <is>
          <t>Brooks, Marc-Andre (6527)</t>
        </is>
      </c>
    </row>
    <row r="55">
      <c r="A55" t="inlineStr">
        <is>
          <t>Brough, Paul (1484)</t>
        </is>
      </c>
    </row>
    <row r="56">
      <c r="A56" t="inlineStr">
        <is>
          <t>Brown, Brian (4776)</t>
        </is>
      </c>
    </row>
    <row r="57">
      <c r="A57" t="inlineStr">
        <is>
          <t>Brown, Cody (0536)</t>
        </is>
      </c>
    </row>
    <row r="58">
      <c r="A58" t="inlineStr">
        <is>
          <t>Brown, Justin (5283)</t>
        </is>
      </c>
    </row>
    <row r="59">
      <c r="A59" t="inlineStr">
        <is>
          <t>Brown, Richard (6624)</t>
        </is>
      </c>
    </row>
    <row r="60">
      <c r="A60" t="inlineStr">
        <is>
          <t>Browne, Thomas (2862)</t>
        </is>
      </c>
    </row>
    <row r="61">
      <c r="A61" t="inlineStr">
        <is>
          <t>Brundage, Eric (7490)</t>
        </is>
      </c>
    </row>
    <row r="62">
      <c r="A62" t="inlineStr">
        <is>
          <t>Brush, Shawn (5695)</t>
        </is>
      </c>
    </row>
    <row r="63">
      <c r="A63" t="inlineStr">
        <is>
          <t>Bueckert, Andrew (2754)</t>
        </is>
      </c>
    </row>
    <row r="64">
      <c r="A64" t="inlineStr">
        <is>
          <t>Burger, Nicholas (5757)</t>
        </is>
      </c>
    </row>
    <row r="65">
      <c r="A65" t="inlineStr">
        <is>
          <t>Burke, Pete (4029)</t>
        </is>
      </c>
    </row>
    <row r="66">
      <c r="A66" t="inlineStr">
        <is>
          <t>Burkholder, Julie (7084)</t>
        </is>
      </c>
    </row>
    <row r="67">
      <c r="A67" t="inlineStr">
        <is>
          <t>Burns, John (4707)</t>
        </is>
      </c>
    </row>
    <row r="68">
      <c r="A68" t="inlineStr">
        <is>
          <t>Burns, Wyatt A (2118)</t>
        </is>
      </c>
    </row>
    <row r="69">
      <c r="A69" t="inlineStr">
        <is>
          <t>Burwell, Jonathon (6551)</t>
        </is>
      </c>
    </row>
    <row r="70">
      <c r="A70" t="inlineStr">
        <is>
          <t>Burwell, Naaman (0400)</t>
        </is>
      </c>
    </row>
    <row r="71">
      <c r="A71" t="inlineStr">
        <is>
          <t>Butler, Aaron (5667)</t>
        </is>
      </c>
    </row>
    <row r="72">
      <c r="A72" t="inlineStr">
        <is>
          <t>Butler, Justin (0229)</t>
        </is>
      </c>
    </row>
    <row r="73">
      <c r="A73" t="inlineStr">
        <is>
          <t>Butt, Alan (8427)</t>
        </is>
      </c>
    </row>
    <row r="74">
      <c r="A74" t="inlineStr">
        <is>
          <t>Cail, David (8312)</t>
        </is>
      </c>
    </row>
    <row r="75">
      <c r="A75" t="inlineStr">
        <is>
          <t>Calhoun, Shane (2555)</t>
        </is>
      </c>
    </row>
    <row r="76">
      <c r="A76" t="inlineStr">
        <is>
          <t>Callum, Jamie (0610)</t>
        </is>
      </c>
    </row>
    <row r="77">
      <c r="A77" t="inlineStr">
        <is>
          <t>Cameron, Dale (5592)</t>
        </is>
      </c>
    </row>
    <row r="78">
      <c r="A78" t="inlineStr">
        <is>
          <t>Camillo, Joshua (9216)</t>
        </is>
      </c>
    </row>
    <row r="79">
      <c r="A79" t="inlineStr">
        <is>
          <t>Campbell, Ken (8980)</t>
        </is>
      </c>
    </row>
    <row r="80">
      <c r="A80" t="inlineStr">
        <is>
          <t>Campbell, Laura (4989)</t>
        </is>
      </c>
    </row>
    <row r="81">
      <c r="A81" t="inlineStr">
        <is>
          <t>Campbell, Rob (6086)</t>
        </is>
      </c>
    </row>
    <row r="82">
      <c r="A82" t="inlineStr">
        <is>
          <t>Capes, Glenn (9395)</t>
        </is>
      </c>
    </row>
    <row r="83">
      <c r="A83" t="inlineStr">
        <is>
          <t>Cassetta, Blair (5229)</t>
        </is>
      </c>
    </row>
    <row r="84">
      <c r="A84" t="inlineStr">
        <is>
          <t>Cavanaugh, Brandon (0504)</t>
        </is>
      </c>
    </row>
    <row r="85">
      <c r="A85" t="inlineStr">
        <is>
          <t>Cavanaugh, Glenn (3035)</t>
        </is>
      </c>
    </row>
    <row r="86">
      <c r="A86" t="inlineStr">
        <is>
          <t>Chamberlain, Darryl (1843)</t>
        </is>
      </c>
    </row>
    <row r="87">
      <c r="A87" t="inlineStr">
        <is>
          <t>Chamberlain, Evan (4213)</t>
        </is>
      </c>
    </row>
    <row r="88">
      <c r="A88" t="inlineStr">
        <is>
          <t>Chappell, Vincent (3242)</t>
        </is>
      </c>
    </row>
    <row r="89">
      <c r="A89" t="inlineStr">
        <is>
          <t>Chevrette, Avery (5236)</t>
        </is>
      </c>
    </row>
    <row r="90">
      <c r="A90" t="inlineStr">
        <is>
          <t>Chiasson, Joe (0350)</t>
        </is>
      </c>
    </row>
    <row r="91">
      <c r="A91" t="inlineStr">
        <is>
          <t>Chisholm, Daniel (1180)</t>
        </is>
      </c>
    </row>
    <row r="92">
      <c r="A92" t="inlineStr">
        <is>
          <t>Chisholm, MIke (3342)</t>
        </is>
      </c>
    </row>
    <row r="93">
      <c r="A93" t="inlineStr">
        <is>
          <t>Churly, Dustin (5133)</t>
        </is>
      </c>
    </row>
    <row r="94">
      <c r="A94" t="inlineStr">
        <is>
          <t>Clark, Gregory (7187)</t>
        </is>
      </c>
    </row>
    <row r="95">
      <c r="A95" t="inlineStr">
        <is>
          <t>Clark, Jeffery (5891)</t>
        </is>
      </c>
    </row>
    <row r="96">
      <c r="A96" t="inlineStr">
        <is>
          <t>Collins, Richard (6834)</t>
        </is>
      </c>
    </row>
    <row r="97">
      <c r="A97" t="inlineStr">
        <is>
          <t>Conroy, Wayne (2267)</t>
        </is>
      </c>
    </row>
    <row r="98">
      <c r="A98" t="inlineStr">
        <is>
          <t>Cope, Tim (8587)</t>
        </is>
      </c>
    </row>
    <row r="99">
      <c r="A99" t="inlineStr">
        <is>
          <t>Corbiere, Rick (5737)</t>
        </is>
      </c>
    </row>
    <row r="100">
      <c r="A100" t="inlineStr">
        <is>
          <t>Cord, Steve (9508)</t>
        </is>
      </c>
    </row>
    <row r="101">
      <c r="A101" t="inlineStr">
        <is>
          <t>Corkum, Don (7641)</t>
        </is>
      </c>
    </row>
    <row r="102">
      <c r="A102" t="inlineStr">
        <is>
          <t>Cornish, Dustin (1327)</t>
        </is>
      </c>
    </row>
    <row r="103">
      <c r="A103" t="inlineStr">
        <is>
          <t>Cote, Dyrick (6953)</t>
        </is>
      </c>
    </row>
    <row r="104">
      <c r="A104" t="inlineStr">
        <is>
          <t>Cotton, Logan (2098)</t>
        </is>
      </c>
    </row>
    <row r="105">
      <c r="A105" t="inlineStr">
        <is>
          <t>Coulson, Chris (6836)</t>
        </is>
      </c>
    </row>
    <row r="106">
      <c r="A106" t="inlineStr">
        <is>
          <t>Crawford, Marc (3462)</t>
        </is>
      </c>
    </row>
    <row r="107">
      <c r="A107" t="inlineStr">
        <is>
          <t>Crockford, Daniel (0741)</t>
        </is>
      </c>
    </row>
    <row r="108">
      <c r="A108" t="inlineStr">
        <is>
          <t>Crombeen, Curtis (7970)</t>
        </is>
      </c>
    </row>
    <row r="109">
      <c r="A109" t="inlineStr">
        <is>
          <t>Croteau, Chris (8604)</t>
        </is>
      </c>
    </row>
    <row r="110">
      <c r="A110" t="inlineStr">
        <is>
          <t>Cuschieri, Nick (6943)</t>
        </is>
      </c>
    </row>
    <row r="111">
      <c r="A111" t="inlineStr">
        <is>
          <t>Da Silva, Jessica (3512)</t>
        </is>
      </c>
    </row>
    <row r="112">
      <c r="A112" t="inlineStr">
        <is>
          <t>Daborn, Kimberly (6286)</t>
        </is>
      </c>
    </row>
    <row r="113">
      <c r="A113" t="inlineStr">
        <is>
          <t>Davies, Mike (9566)</t>
        </is>
      </c>
    </row>
    <row r="114">
      <c r="A114" t="inlineStr">
        <is>
          <t>Dawson, Keith (0993)</t>
        </is>
      </c>
    </row>
    <row r="115">
      <c r="A115" t="inlineStr">
        <is>
          <t>Daye, Chet (8232)</t>
        </is>
      </c>
    </row>
    <row r="116">
      <c r="A116" t="inlineStr">
        <is>
          <t>DeCiantis, Caelan (3675)</t>
        </is>
      </c>
    </row>
    <row r="117">
      <c r="A117" t="inlineStr">
        <is>
          <t>DeCiantis, Lu (5271)</t>
        </is>
      </c>
    </row>
    <row r="118">
      <c r="A118" t="inlineStr">
        <is>
          <t>DeGagne, Alexandre (7207)</t>
        </is>
      </c>
    </row>
    <row r="119">
      <c r="A119" t="inlineStr">
        <is>
          <t>DeMerchant, Noah (8177)</t>
        </is>
      </c>
    </row>
    <row r="120">
      <c r="A120" t="inlineStr">
        <is>
          <t>Deciantis, Randy (5270)</t>
        </is>
      </c>
    </row>
    <row r="121">
      <c r="A121" t="inlineStr">
        <is>
          <t>Deley, Brett (4000)</t>
        </is>
      </c>
    </row>
    <row r="122">
      <c r="A122" t="inlineStr">
        <is>
          <t>Dell, James (2773)</t>
        </is>
      </c>
    </row>
    <row r="123">
      <c r="A123" t="inlineStr">
        <is>
          <t>Dell, Kenya (0886)</t>
        </is>
      </c>
    </row>
    <row r="124">
      <c r="A124" t="inlineStr">
        <is>
          <t>Dell, Riley (4813)</t>
        </is>
      </c>
    </row>
    <row r="125">
      <c r="A125" t="inlineStr">
        <is>
          <t>Demelo, Wesley (5732)</t>
        </is>
      </c>
    </row>
    <row r="126">
      <c r="A126" t="inlineStr">
        <is>
          <t>Denes, Luke (2935)</t>
        </is>
      </c>
    </row>
    <row r="127">
      <c r="A127" t="inlineStr">
        <is>
          <t>Desrochers, Andre (7796)</t>
        </is>
      </c>
    </row>
    <row r="128">
      <c r="A128" t="inlineStr">
        <is>
          <t>Desrochers, Wesley (9596)</t>
        </is>
      </c>
    </row>
    <row r="129">
      <c r="A129" t="inlineStr">
        <is>
          <t>Devooght, Devin (1681)</t>
        </is>
      </c>
    </row>
    <row r="130">
      <c r="A130" t="inlineStr">
        <is>
          <t>DiPasquale, Joe (5504)</t>
        </is>
      </c>
    </row>
    <row r="131">
      <c r="A131" t="inlineStr">
        <is>
          <t>Dillman, Michael (8685)</t>
        </is>
      </c>
    </row>
    <row r="132">
      <c r="A132" t="inlineStr">
        <is>
          <t>Doan, Corey (8273)</t>
        </is>
      </c>
    </row>
    <row r="133">
      <c r="A133" t="inlineStr">
        <is>
          <t>Dobroski, Adam (0105)</t>
        </is>
      </c>
    </row>
    <row r="134">
      <c r="A134" t="inlineStr">
        <is>
          <t>Dobroski, Samuel (4093)</t>
        </is>
      </c>
    </row>
    <row r="135">
      <c r="A135" t="inlineStr">
        <is>
          <t>Domingue, Matt (3043)</t>
        </is>
      </c>
    </row>
    <row r="136">
      <c r="A136" t="inlineStr">
        <is>
          <t>Domotor, Rob (0226)</t>
        </is>
      </c>
    </row>
    <row r="137">
      <c r="A137" t="inlineStr">
        <is>
          <t>Dryden, Marion (3711)</t>
        </is>
      </c>
    </row>
    <row r="138">
      <c r="A138" t="inlineStr">
        <is>
          <t>Duarte, Tyler (6187)</t>
        </is>
      </c>
    </row>
    <row r="139">
      <c r="A139" t="inlineStr">
        <is>
          <t>Dubois, Luc (8229)</t>
        </is>
      </c>
    </row>
    <row r="140">
      <c r="A140" t="inlineStr">
        <is>
          <t>Duffy, Jakob (3625)</t>
        </is>
      </c>
    </row>
    <row r="141">
      <c r="A141" t="inlineStr">
        <is>
          <t>Dunn, Jack (5282)</t>
        </is>
      </c>
    </row>
    <row r="142">
      <c r="A142" t="inlineStr">
        <is>
          <t>Dunn, Randy (6959)</t>
        </is>
      </c>
    </row>
    <row r="143">
      <c r="A143" t="inlineStr">
        <is>
          <t>Duprey, Katie (0805)</t>
        </is>
      </c>
    </row>
    <row r="144">
      <c r="A144" t="inlineStr">
        <is>
          <t>Durley, Ashley (4377)</t>
        </is>
      </c>
    </row>
    <row r="145">
      <c r="A145" t="inlineStr">
        <is>
          <t>Durocher, Ryan (0492)</t>
        </is>
      </c>
    </row>
    <row r="146">
      <c r="A146" t="inlineStr">
        <is>
          <t>Edgar, Chuck (0611)</t>
        </is>
      </c>
    </row>
    <row r="147">
      <c r="A147" t="inlineStr">
        <is>
          <t>Einhorn, Paul (4459)</t>
        </is>
      </c>
    </row>
    <row r="148">
      <c r="A148" t="inlineStr">
        <is>
          <t>Elliott, Hanlon (8598)</t>
        </is>
      </c>
    </row>
    <row r="149">
      <c r="A149" t="inlineStr">
        <is>
          <t>Ellison, Jakob (0795)</t>
        </is>
      </c>
    </row>
    <row r="150">
      <c r="A150" t="inlineStr">
        <is>
          <t>Elms, Terry (3884)</t>
        </is>
      </c>
    </row>
    <row r="151">
      <c r="A151" t="inlineStr">
        <is>
          <t>Elviage, Dawson (7365)</t>
        </is>
      </c>
    </row>
    <row r="152">
      <c r="A152" t="inlineStr">
        <is>
          <t>Emery, Jonathan (8537)</t>
        </is>
      </c>
    </row>
    <row r="153">
      <c r="A153" t="inlineStr">
        <is>
          <t>Engleson, Bryan (3825)</t>
        </is>
      </c>
    </row>
    <row r="154">
      <c r="A154" t="inlineStr">
        <is>
          <t>Espinola, Adrian (8524)</t>
        </is>
      </c>
    </row>
    <row r="155">
      <c r="A155" t="inlineStr">
        <is>
          <t>Esselment, Derek (0403)</t>
        </is>
      </c>
    </row>
    <row r="156">
      <c r="A156" t="inlineStr">
        <is>
          <t>Esselment, Joe (0324)</t>
        </is>
      </c>
    </row>
    <row r="157">
      <c r="A157" t="inlineStr">
        <is>
          <t>Fais, Peter (8131)</t>
        </is>
      </c>
    </row>
    <row r="158">
      <c r="A158" t="inlineStr">
        <is>
          <t>Ferguson, Keith (6332)</t>
        </is>
      </c>
    </row>
    <row r="159">
      <c r="A159" t="inlineStr">
        <is>
          <t>Fernandes, Kevin (0551)</t>
        </is>
      </c>
    </row>
    <row r="160">
      <c r="A160" t="inlineStr">
        <is>
          <t>Ferrera, Cole (4202)</t>
        </is>
      </c>
    </row>
    <row r="161">
      <c r="A161" t="inlineStr">
        <is>
          <t>Fick, Noah (0035)</t>
        </is>
      </c>
    </row>
    <row r="162">
      <c r="A162" t="inlineStr">
        <is>
          <t>Finch, Dylan (2544)</t>
        </is>
      </c>
    </row>
    <row r="163">
      <c r="A163" t="inlineStr">
        <is>
          <t>Finley, William (9136)</t>
        </is>
      </c>
    </row>
    <row r="164">
      <c r="A164" t="inlineStr">
        <is>
          <t>Fisher, Samuel (3890)</t>
        </is>
      </c>
    </row>
    <row r="165">
      <c r="A165" t="inlineStr">
        <is>
          <t>Fisher, Terry (3185)</t>
        </is>
      </c>
    </row>
    <row r="166">
      <c r="A166" t="inlineStr">
        <is>
          <t>Flanagan, Kylie (3344)</t>
        </is>
      </c>
    </row>
    <row r="167">
      <c r="A167" t="inlineStr">
        <is>
          <t>Fleming, Kathryn (1099)</t>
        </is>
      </c>
    </row>
    <row r="168">
      <c r="A168" t="inlineStr">
        <is>
          <t>Fortey, Tad (4040)</t>
        </is>
      </c>
    </row>
    <row r="169">
      <c r="A169" t="inlineStr">
        <is>
          <t>Fortney, Mark (0218)</t>
        </is>
      </c>
    </row>
    <row r="170">
      <c r="A170" t="inlineStr">
        <is>
          <t>Foster, Mitchell (0406)</t>
        </is>
      </c>
    </row>
    <row r="171">
      <c r="A171" t="inlineStr">
        <is>
          <t>Foubister, Doug (5449)</t>
        </is>
      </c>
    </row>
    <row r="172">
      <c r="A172" t="inlineStr">
        <is>
          <t>Frank, Joel (9779)</t>
        </is>
      </c>
    </row>
    <row r="173">
      <c r="A173" t="inlineStr">
        <is>
          <t>Fraser, Blair (8347)</t>
        </is>
      </c>
    </row>
    <row r="174">
      <c r="A174" t="inlineStr">
        <is>
          <t>Fraser, Matthew (4685)</t>
        </is>
      </c>
    </row>
    <row r="175">
      <c r="A175" t="inlineStr">
        <is>
          <t>Freer, Jared (1839)</t>
        </is>
      </c>
    </row>
    <row r="176">
      <c r="A176" t="inlineStr">
        <is>
          <t>Gabriele, Taylor (0516)</t>
        </is>
      </c>
    </row>
    <row r="177">
      <c r="A177" t="inlineStr">
        <is>
          <t>Gadd, Tyler (2414)</t>
        </is>
      </c>
    </row>
    <row r="178">
      <c r="A178" t="inlineStr">
        <is>
          <t>Gagne, Kyle (5547)</t>
        </is>
      </c>
    </row>
    <row r="179">
      <c r="A179" t="inlineStr">
        <is>
          <t>Gagnon, Shaun (1203)</t>
        </is>
      </c>
    </row>
    <row r="180">
      <c r="A180" t="inlineStr">
        <is>
          <t>Gale, Chad (4485)</t>
        </is>
      </c>
    </row>
    <row r="181">
      <c r="A181" t="inlineStr">
        <is>
          <t>Gallie, Kenneth (4106)</t>
        </is>
      </c>
    </row>
    <row r="182">
      <c r="A182" t="inlineStr">
        <is>
          <t>Gardner, Christian (0455)</t>
        </is>
      </c>
    </row>
    <row r="183">
      <c r="A183" t="inlineStr">
        <is>
          <t>Geddes, Chris (0429)</t>
        </is>
      </c>
    </row>
    <row r="184">
      <c r="A184" t="inlineStr">
        <is>
          <t>Geddes, Will (1989)</t>
        </is>
      </c>
    </row>
    <row r="185">
      <c r="A185" t="inlineStr">
        <is>
          <t>George, Richard (0400)</t>
        </is>
      </c>
    </row>
    <row r="186">
      <c r="A186" t="inlineStr">
        <is>
          <t>George, Travis (1215)</t>
        </is>
      </c>
    </row>
    <row r="187">
      <c r="A187" t="inlineStr">
        <is>
          <t>Gerrits, Paul (6291)</t>
        </is>
      </c>
    </row>
    <row r="188">
      <c r="A188" t="inlineStr">
        <is>
          <t>Gilbert, Dan (1509)</t>
        </is>
      </c>
    </row>
    <row r="189">
      <c r="A189" t="inlineStr">
        <is>
          <t>Gilliard, Kyle (7884)</t>
        </is>
      </c>
    </row>
    <row r="190">
      <c r="A190" t="inlineStr">
        <is>
          <t>Gleason, Chris (9959)</t>
        </is>
      </c>
    </row>
    <row r="191">
      <c r="A191" t="inlineStr">
        <is>
          <t>Goetz, Shannon (5425)</t>
        </is>
      </c>
    </row>
    <row r="192">
      <c r="A192" t="inlineStr">
        <is>
          <t>Good, Lennon (5801)</t>
        </is>
      </c>
    </row>
    <row r="193">
      <c r="A193" t="inlineStr">
        <is>
          <t>Gore, Joe (1559)</t>
        </is>
      </c>
    </row>
    <row r="194">
      <c r="A194" t="inlineStr">
        <is>
          <t>Gotkowski, Jaycee (7313)</t>
        </is>
      </c>
    </row>
    <row r="195">
      <c r="A195" t="inlineStr">
        <is>
          <t>Gotts, Daniel (6856)</t>
        </is>
      </c>
    </row>
    <row r="196">
      <c r="A196" t="inlineStr">
        <is>
          <t>Goulais, Samantha (1151)</t>
        </is>
      </c>
    </row>
    <row r="197">
      <c r="A197" t="inlineStr">
        <is>
          <t>Gould, Kyle (3256)</t>
        </is>
      </c>
    </row>
    <row r="198">
      <c r="A198" t="inlineStr">
        <is>
          <t>Graham, Floyd (7198)</t>
        </is>
      </c>
    </row>
    <row r="199">
      <c r="A199" t="inlineStr">
        <is>
          <t>Grant, John (3947)</t>
        </is>
      </c>
    </row>
    <row r="200">
      <c r="A200" t="inlineStr">
        <is>
          <t>Grant, Ted (8658)</t>
        </is>
      </c>
    </row>
    <row r="201">
      <c r="A201" t="inlineStr">
        <is>
          <t>Gratton, Steve (0617)</t>
        </is>
      </c>
    </row>
    <row r="202">
      <c r="A202" t="inlineStr">
        <is>
          <t>Green, Kyle (5243)</t>
        </is>
      </c>
    </row>
    <row r="203">
      <c r="A203" t="inlineStr">
        <is>
          <t>Green, Michael (5554)</t>
        </is>
      </c>
    </row>
    <row r="204">
      <c r="A204" t="inlineStr">
        <is>
          <t>Griffin, Aaron (0185)</t>
        </is>
      </c>
    </row>
    <row r="205">
      <c r="A205" t="inlineStr">
        <is>
          <t>Griffin, Joel (6670)</t>
        </is>
      </c>
    </row>
    <row r="206">
      <c r="A206" t="inlineStr">
        <is>
          <t>Gruszecki, Jason (8584)</t>
        </is>
      </c>
    </row>
    <row r="207">
      <c r="A207" t="inlineStr">
        <is>
          <t>Gudrie, Jay (7224)</t>
        </is>
      </c>
    </row>
    <row r="208">
      <c r="A208" t="inlineStr">
        <is>
          <t>Hall, Keenan (8299)</t>
        </is>
      </c>
    </row>
    <row r="209">
      <c r="A209" t="inlineStr">
        <is>
          <t>Hand, Zac (2194)</t>
        </is>
      </c>
    </row>
    <row r="210">
      <c r="A210" t="inlineStr">
        <is>
          <t>Handyside, Adam (4363)</t>
        </is>
      </c>
    </row>
    <row r="211">
      <c r="A211" t="inlineStr">
        <is>
          <t>Harte-Wynne, Ethan (9528)</t>
        </is>
      </c>
    </row>
    <row r="212">
      <c r="A212" t="inlineStr">
        <is>
          <t>Hatfield, James (0661)</t>
        </is>
      </c>
    </row>
    <row r="213">
      <c r="A213" t="inlineStr">
        <is>
          <t>Hawco, Stephen (7544)</t>
        </is>
      </c>
    </row>
    <row r="214">
      <c r="A214" t="inlineStr">
        <is>
          <t>Hawco, Wayne (4953)</t>
        </is>
      </c>
    </row>
    <row r="215">
      <c r="A215" t="inlineStr">
        <is>
          <t>Hay, Gary (0989)</t>
        </is>
      </c>
    </row>
    <row r="216">
      <c r="A216" t="inlineStr">
        <is>
          <t>Hayes, Matt (0502)</t>
        </is>
      </c>
    </row>
    <row r="217">
      <c r="A217" t="inlineStr">
        <is>
          <t>Heil, Shane (4670)</t>
        </is>
      </c>
    </row>
    <row r="218">
      <c r="A218" t="inlineStr">
        <is>
          <t>Helle, Chris (8855)</t>
        </is>
      </c>
    </row>
    <row r="219">
      <c r="A219" t="inlineStr">
        <is>
          <t>Henderson Jr, Donald (2050)</t>
        </is>
      </c>
    </row>
    <row r="220">
      <c r="A220" t="inlineStr">
        <is>
          <t>Henderson Sr, Don (3403)</t>
        </is>
      </c>
    </row>
    <row r="221">
      <c r="A221" t="inlineStr">
        <is>
          <t>Henderson, Jessica (4224)</t>
        </is>
      </c>
    </row>
    <row r="222">
      <c r="A222" t="inlineStr">
        <is>
          <t>Hennessey, John (7271)</t>
        </is>
      </c>
    </row>
    <row r="223">
      <c r="A223" t="inlineStr">
        <is>
          <t>Henry, Pat (4337)</t>
        </is>
      </c>
    </row>
    <row r="224">
      <c r="A224" t="inlineStr">
        <is>
          <t>Herbert, Lee (0462)</t>
        </is>
      </c>
    </row>
    <row r="225">
      <c r="A225" t="inlineStr">
        <is>
          <t>Hetherington, Darryl (5842)</t>
        </is>
      </c>
    </row>
    <row r="226">
      <c r="A226" t="inlineStr">
        <is>
          <t>Hibma, Dustin (6590)</t>
        </is>
      </c>
    </row>
    <row r="227">
      <c r="A227" t="inlineStr">
        <is>
          <t>Highfield, Aaron (8487)</t>
        </is>
      </c>
    </row>
    <row r="228">
      <c r="A228" t="inlineStr">
        <is>
          <t>Hogan, Kevin (7192)</t>
        </is>
      </c>
    </row>
    <row r="229">
      <c r="A229" t="inlineStr">
        <is>
          <t>Horak, David (4068)</t>
        </is>
      </c>
    </row>
    <row r="230">
      <c r="A230" t="inlineStr">
        <is>
          <t>Howlett, Quinn (1456)</t>
        </is>
      </c>
    </row>
    <row r="231">
      <c r="A231" t="inlineStr">
        <is>
          <t>Huggett, Tim (8443)</t>
        </is>
      </c>
    </row>
    <row r="232">
      <c r="A232" t="inlineStr">
        <is>
          <t>Humby, Mitchell (0564)</t>
        </is>
      </c>
    </row>
    <row r="233">
      <c r="A233" t="inlineStr">
        <is>
          <t>Hyde, Michael (0954)</t>
        </is>
      </c>
    </row>
    <row r="234">
      <c r="A234" t="inlineStr">
        <is>
          <t>Iliescu, Andrei (9860)</t>
        </is>
      </c>
    </row>
    <row r="235">
      <c r="A235" t="inlineStr">
        <is>
          <t>Ingles, Richard (1076)</t>
        </is>
      </c>
    </row>
    <row r="236">
      <c r="A236" t="inlineStr">
        <is>
          <t>Irwin, Dawn (2604)</t>
        </is>
      </c>
    </row>
    <row r="237">
      <c r="A237" t="inlineStr">
        <is>
          <t>Irwin, Dylan (9142)</t>
        </is>
      </c>
    </row>
    <row r="238">
      <c r="A238" t="inlineStr">
        <is>
          <t>Jackson, Jamie (8732)</t>
        </is>
      </c>
    </row>
    <row r="239">
      <c r="A239" t="inlineStr">
        <is>
          <t>Jamer, Douglas (3003)</t>
        </is>
      </c>
    </row>
    <row r="240">
      <c r="A240" t="inlineStr">
        <is>
          <t>Jarvis, James (2929)</t>
        </is>
      </c>
    </row>
    <row r="241">
      <c r="A241" t="inlineStr">
        <is>
          <t>Jarvis, Keegan (2969)</t>
        </is>
      </c>
    </row>
    <row r="242">
      <c r="A242" t="inlineStr">
        <is>
          <t>Jauniaux, Trevor (0063)</t>
        </is>
      </c>
    </row>
    <row r="243">
      <c r="A243" t="inlineStr">
        <is>
          <t>Jefferson, Nathan (2252)</t>
        </is>
      </c>
    </row>
    <row r="244">
      <c r="A244" t="inlineStr">
        <is>
          <t>Johnston, Brendan (4676)</t>
        </is>
      </c>
    </row>
    <row r="245">
      <c r="A245" t="inlineStr">
        <is>
          <t>Johnston, Patrick (2375)</t>
        </is>
      </c>
    </row>
    <row r="246">
      <c r="A246" t="inlineStr">
        <is>
          <t>Jolicoeur, Marc (2949)</t>
        </is>
      </c>
    </row>
    <row r="247">
      <c r="A247" t="inlineStr">
        <is>
          <t>Joshi, Nitin (9745)</t>
        </is>
      </c>
    </row>
    <row r="248">
      <c r="A248" t="inlineStr">
        <is>
          <t>Jung, Kevin (0044)</t>
        </is>
      </c>
    </row>
    <row r="249">
      <c r="A249" t="inlineStr">
        <is>
          <t>Kalisch, Rob (3535)</t>
        </is>
      </c>
    </row>
    <row r="250">
      <c r="A250" t="inlineStr">
        <is>
          <t>Kameka, Dylan (0733)</t>
        </is>
      </c>
    </row>
    <row r="251">
      <c r="A251" t="inlineStr">
        <is>
          <t>Kameka, Kevin (8845)</t>
        </is>
      </c>
    </row>
    <row r="252">
      <c r="A252" t="inlineStr">
        <is>
          <t>Kang, Bhavneet (3419)</t>
        </is>
      </c>
    </row>
    <row r="253">
      <c r="A253" t="inlineStr">
        <is>
          <t>Kapteyn, Erin (6690)</t>
        </is>
      </c>
    </row>
    <row r="254">
      <c r="A254" t="inlineStr">
        <is>
          <t>Kecskemeti, Alexander (7812)</t>
        </is>
      </c>
    </row>
    <row r="255">
      <c r="A255" t="inlineStr">
        <is>
          <t>Keith, Amy (0236)</t>
        </is>
      </c>
    </row>
    <row r="256">
      <c r="A256" t="inlineStr">
        <is>
          <t>Kelders, Jeff (5186)</t>
        </is>
      </c>
    </row>
    <row r="257">
      <c r="A257" t="inlineStr">
        <is>
          <t>Kember, Johnny (7117)</t>
        </is>
      </c>
    </row>
    <row r="258">
      <c r="A258" t="inlineStr">
        <is>
          <t>Kennedy, Grant (4813)</t>
        </is>
      </c>
    </row>
    <row r="259">
      <c r="A259" t="inlineStr">
        <is>
          <t>Kennedy, Jonathan (4518)</t>
        </is>
      </c>
    </row>
    <row r="260">
      <c r="A260" t="inlineStr">
        <is>
          <t>Kennedy, Michael (2545)</t>
        </is>
      </c>
    </row>
    <row r="261">
      <c r="A261" t="inlineStr">
        <is>
          <t>Kennedy, Scott (8513)</t>
        </is>
      </c>
    </row>
    <row r="262">
      <c r="A262" t="inlineStr">
        <is>
          <t>Kennedy, Vince (8196)</t>
        </is>
      </c>
    </row>
    <row r="263">
      <c r="A263" t="inlineStr">
        <is>
          <t>Kerr, Kyle (9687)</t>
        </is>
      </c>
    </row>
    <row r="264">
      <c r="A264" t="inlineStr">
        <is>
          <t>Kerwin, Dustin (1727)</t>
        </is>
      </c>
    </row>
    <row r="265">
      <c r="A265" t="inlineStr">
        <is>
          <t>King, Craig (7870)</t>
        </is>
      </c>
    </row>
    <row r="266">
      <c r="A266" t="inlineStr">
        <is>
          <t>King, Dario (0101)</t>
        </is>
      </c>
    </row>
    <row r="267">
      <c r="A267" t="inlineStr">
        <is>
          <t>Kitto, Trever (7449)</t>
        </is>
      </c>
    </row>
    <row r="268">
      <c r="A268" t="inlineStr">
        <is>
          <t>Kjeldsen, Fran (1643)</t>
        </is>
      </c>
    </row>
    <row r="269">
      <c r="A269" t="inlineStr">
        <is>
          <t>Klassen, Raymond (0934)</t>
        </is>
      </c>
    </row>
    <row r="270">
      <c r="A270" t="inlineStr">
        <is>
          <t>Klumpenhouwer, Kiem (9490)</t>
        </is>
      </c>
    </row>
    <row r="271">
      <c r="A271" t="inlineStr">
        <is>
          <t>Knight, Katie (8877)</t>
        </is>
      </c>
    </row>
    <row r="272">
      <c r="A272" t="inlineStr">
        <is>
          <t>Knowles, Jakob (2773)</t>
        </is>
      </c>
    </row>
    <row r="273">
      <c r="A273" t="inlineStr">
        <is>
          <t>Kraayenbrink, Brian (9027)</t>
        </is>
      </c>
    </row>
    <row r="274">
      <c r="A274" t="inlineStr">
        <is>
          <t>Krumholtz, Christian (2969)</t>
        </is>
      </c>
    </row>
    <row r="275">
      <c r="A275" t="inlineStr">
        <is>
          <t>Kudman, Sean (2166)</t>
        </is>
      </c>
    </row>
    <row r="276">
      <c r="A276" t="inlineStr">
        <is>
          <t>Kuehl, Trystan (8737)</t>
        </is>
      </c>
    </row>
    <row r="277">
      <c r="A277" t="inlineStr">
        <is>
          <t>Laberge, Kevin (0035)</t>
        </is>
      </c>
    </row>
    <row r="278">
      <c r="A278" t="inlineStr">
        <is>
          <t>Laframboise, Alain (1917)</t>
        </is>
      </c>
    </row>
    <row r="279">
      <c r="A279" t="inlineStr">
        <is>
          <t>Laird, Jennifer (2406)</t>
        </is>
      </c>
    </row>
    <row r="280">
      <c r="A280" t="inlineStr">
        <is>
          <t>Lajoie, Joshua (9299)</t>
        </is>
      </c>
    </row>
    <row r="281">
      <c r="A281" t="inlineStr">
        <is>
          <t>Lambert, Jeremy (3532)</t>
        </is>
      </c>
    </row>
    <row r="282">
      <c r="A282" t="inlineStr">
        <is>
          <t>Lammers, Jeremy (8660)</t>
        </is>
      </c>
    </row>
    <row r="283">
      <c r="A283" t="inlineStr">
        <is>
          <t>Lannan, Thomas (2045)</t>
        </is>
      </c>
    </row>
    <row r="284">
      <c r="A284" t="inlineStr">
        <is>
          <t>Lauwereys, Dylan (2971)</t>
        </is>
      </c>
    </row>
    <row r="285">
      <c r="A285" t="inlineStr">
        <is>
          <t>Lavoie, Christopher (5283)</t>
        </is>
      </c>
    </row>
    <row r="286">
      <c r="A286" t="inlineStr">
        <is>
          <t>Lawrence, Joshua (1260)</t>
        </is>
      </c>
    </row>
    <row r="287">
      <c r="A287" t="inlineStr">
        <is>
          <t>LeMay, Donat (4136)</t>
        </is>
      </c>
    </row>
    <row r="288">
      <c r="A288" t="inlineStr">
        <is>
          <t>LeMay, Justin (8393)</t>
        </is>
      </c>
    </row>
    <row r="289">
      <c r="A289" t="inlineStr">
        <is>
          <t>LeMay, Randy (1966)</t>
        </is>
      </c>
    </row>
    <row r="290">
      <c r="A290" t="inlineStr">
        <is>
          <t>Leckie, Tyler (3409)</t>
        </is>
      </c>
    </row>
    <row r="291">
      <c r="A291" t="inlineStr">
        <is>
          <t>Lelievre, Christopher (9549)</t>
        </is>
      </c>
    </row>
    <row r="292">
      <c r="A292" t="inlineStr">
        <is>
          <t>Levis, Dan (7212)</t>
        </is>
      </c>
    </row>
    <row r="293">
      <c r="A293" t="inlineStr">
        <is>
          <t>Lewis, Josh (5973)</t>
        </is>
      </c>
    </row>
    <row r="294">
      <c r="A294" t="inlineStr">
        <is>
          <t>Lewis, Sam (0684)</t>
        </is>
      </c>
    </row>
    <row r="295">
      <c r="A295" t="inlineStr">
        <is>
          <t>Lichty, Harland (5116)</t>
        </is>
      </c>
    </row>
    <row r="296">
      <c r="A296" t="inlineStr">
        <is>
          <t>Lindsay, Braxton (0014)</t>
        </is>
      </c>
    </row>
    <row r="297">
      <c r="A297" t="inlineStr">
        <is>
          <t>Lines, Carson (8444)</t>
        </is>
      </c>
    </row>
    <row r="298">
      <c r="A298" t="inlineStr">
        <is>
          <t>Little, Bryce (0124)</t>
        </is>
      </c>
    </row>
    <row r="299">
      <c r="A299" t="inlineStr">
        <is>
          <t>Liukko, Matthew (6597)</t>
        </is>
      </c>
    </row>
    <row r="300">
      <c r="A300" t="inlineStr">
        <is>
          <t>Lloyd, Stephen (9896)</t>
        </is>
      </c>
    </row>
    <row r="301">
      <c r="A301" t="inlineStr">
        <is>
          <t>Logan, Andrew (4515)</t>
        </is>
      </c>
    </row>
    <row r="302">
      <c r="A302" t="inlineStr">
        <is>
          <t>Lord, Richard (8492)</t>
        </is>
      </c>
    </row>
    <row r="303">
      <c r="A303" t="inlineStr">
        <is>
          <t>Lucier, Cory (0690)</t>
        </is>
      </c>
    </row>
    <row r="304">
      <c r="A304" t="inlineStr">
        <is>
          <t>Lumley, Darryl (1972)</t>
        </is>
      </c>
    </row>
    <row r="305">
      <c r="A305" t="inlineStr">
        <is>
          <t>MacAlpine, Chris (0580)</t>
        </is>
      </c>
    </row>
    <row r="306">
      <c r="A306" t="inlineStr">
        <is>
          <t>MacDonald, Jeffrey (5406)</t>
        </is>
      </c>
    </row>
    <row r="307">
      <c r="A307" t="inlineStr">
        <is>
          <t>MacDonald, Kevin (3230)</t>
        </is>
      </c>
    </row>
    <row r="308">
      <c r="A308" t="inlineStr">
        <is>
          <t>MacDonald-Redden, Kenneth (6837)</t>
        </is>
      </c>
    </row>
    <row r="309">
      <c r="A309" t="inlineStr">
        <is>
          <t>MacDougall, Jace (4061)</t>
        </is>
      </c>
    </row>
    <row r="310">
      <c r="A310" t="inlineStr">
        <is>
          <t>MacFarlane, Makenna (0388)</t>
        </is>
      </c>
    </row>
    <row r="311">
      <c r="A311" t="inlineStr">
        <is>
          <t>MacKenzie, Donnie (0707)</t>
        </is>
      </c>
    </row>
    <row r="312">
      <c r="A312" t="inlineStr">
        <is>
          <t>Maclachlan, Micheal (5159)</t>
        </is>
      </c>
    </row>
    <row r="313">
      <c r="A313" t="inlineStr">
        <is>
          <t>Maddock, Dan (9858)</t>
        </is>
      </c>
    </row>
    <row r="314">
      <c r="A314" t="inlineStr">
        <is>
          <t>Madere, Ken (1542)</t>
        </is>
      </c>
    </row>
    <row r="315">
      <c r="A315" t="inlineStr">
        <is>
          <t>Major, Tyler (1370)</t>
        </is>
      </c>
    </row>
    <row r="316">
      <c r="A316" t="inlineStr">
        <is>
          <t>Maniuk, Joe (2366)</t>
        </is>
      </c>
    </row>
    <row r="317">
      <c r="A317" t="inlineStr">
        <is>
          <t>Mann, William (5195)</t>
        </is>
      </c>
    </row>
    <row r="318">
      <c r="A318" t="inlineStr">
        <is>
          <t>Marcolin, Kyle (0214)</t>
        </is>
      </c>
    </row>
    <row r="319">
      <c r="A319" t="inlineStr">
        <is>
          <t>Markey, Andrew (4384)</t>
        </is>
      </c>
    </row>
    <row r="320">
      <c r="A320" t="inlineStr">
        <is>
          <t>Marshall, Jeanette (1291)</t>
        </is>
      </c>
    </row>
    <row r="321">
      <c r="A321" t="inlineStr">
        <is>
          <t>Martin, Chris (2881)</t>
        </is>
      </c>
    </row>
    <row r="322">
      <c r="A322" t="inlineStr">
        <is>
          <t>Martin, Ray (3222)</t>
        </is>
      </c>
    </row>
    <row r="323">
      <c r="A323" t="inlineStr">
        <is>
          <t>Martinez, Nelson (6851)</t>
        </is>
      </c>
    </row>
    <row r="324">
      <c r="A324" t="inlineStr">
        <is>
          <t>Mathany, Holden (5114)</t>
        </is>
      </c>
    </row>
    <row r="325">
      <c r="A325" t="inlineStr">
        <is>
          <t>McAree, Alex (3939)</t>
        </is>
      </c>
    </row>
    <row r="326">
      <c r="A326" t="inlineStr">
        <is>
          <t>McCabe, Zachary (5412)</t>
        </is>
      </c>
    </row>
    <row r="327">
      <c r="A327" t="inlineStr">
        <is>
          <t>McCartney, Josh (3648)</t>
        </is>
      </c>
    </row>
    <row r="328">
      <c r="A328" t="inlineStr">
        <is>
          <t>McCormick, Brett (8419)</t>
        </is>
      </c>
    </row>
    <row r="329">
      <c r="A329" t="inlineStr">
        <is>
          <t>McDonald, Kyle (9533)</t>
        </is>
      </c>
    </row>
    <row r="330">
      <c r="A330" t="inlineStr">
        <is>
          <t>McDonald, Ron (7371)</t>
        </is>
      </c>
    </row>
    <row r="331">
      <c r="A331" t="inlineStr">
        <is>
          <t>McFadden, Greg (7980)</t>
        </is>
      </c>
    </row>
    <row r="332">
      <c r="A332" t="inlineStr">
        <is>
          <t>McGregor, Scott (3305)</t>
        </is>
      </c>
    </row>
    <row r="333">
      <c r="A333" t="inlineStr">
        <is>
          <t>McGuire, Samantha (6759)</t>
        </is>
      </c>
    </row>
    <row r="334">
      <c r="A334" t="inlineStr">
        <is>
          <t>McKay, Tyler (0058)</t>
        </is>
      </c>
    </row>
    <row r="335">
      <c r="A335" t="inlineStr">
        <is>
          <t>McKinnon, Dylon (8912)</t>
        </is>
      </c>
    </row>
    <row r="336">
      <c r="A336" t="inlineStr">
        <is>
          <t>McLam, Bruce (9597)</t>
        </is>
      </c>
    </row>
    <row r="337">
      <c r="A337" t="inlineStr">
        <is>
          <t>McLaughlin, Sean (5626)</t>
        </is>
      </c>
    </row>
    <row r="338">
      <c r="A338" t="inlineStr">
        <is>
          <t>McLean, Greg (1041)</t>
        </is>
      </c>
    </row>
    <row r="339">
      <c r="A339" t="inlineStr">
        <is>
          <t>McLellan, Rod (3498)</t>
        </is>
      </c>
    </row>
    <row r="340">
      <c r="A340" t="inlineStr">
        <is>
          <t>McManus, Brent (4852)</t>
        </is>
      </c>
    </row>
    <row r="341">
      <c r="A341" t="inlineStr">
        <is>
          <t>McMillan, Adrien (5542)</t>
        </is>
      </c>
    </row>
    <row r="342">
      <c r="A342" t="inlineStr">
        <is>
          <t>McShane, Dave (6437)</t>
        </is>
      </c>
    </row>
    <row r="343">
      <c r="A343" t="inlineStr">
        <is>
          <t>Melson, Sean (5339)</t>
        </is>
      </c>
    </row>
    <row r="344">
      <c r="A344" t="inlineStr">
        <is>
          <t>Mercer, Bradley (2626)</t>
        </is>
      </c>
    </row>
    <row r="345">
      <c r="A345" t="inlineStr">
        <is>
          <t>Miller, David (7148)</t>
        </is>
      </c>
    </row>
    <row r="346">
      <c r="A346" t="inlineStr">
        <is>
          <t>Miller, Jesse (0901)</t>
        </is>
      </c>
    </row>
    <row r="347">
      <c r="A347" t="inlineStr">
        <is>
          <t>Mills, Jeff (2258)</t>
        </is>
      </c>
    </row>
    <row r="348">
      <c r="A348" t="inlineStr">
        <is>
          <t>Millson, Grant (4768)</t>
        </is>
      </c>
    </row>
    <row r="349">
      <c r="A349" t="inlineStr">
        <is>
          <t>Minaker, Joe (3810)</t>
        </is>
      </c>
    </row>
    <row r="350">
      <c r="A350" t="inlineStr">
        <is>
          <t>Minielly, Grant (6942)</t>
        </is>
      </c>
    </row>
    <row r="351">
      <c r="A351" t="inlineStr">
        <is>
          <t>Mitchell, Braedan (7415)</t>
        </is>
      </c>
    </row>
    <row r="352">
      <c r="A352" t="inlineStr">
        <is>
          <t>Mitchell, Codi (9011)</t>
        </is>
      </c>
    </row>
    <row r="353">
      <c r="A353" t="inlineStr">
        <is>
          <t>Moffatt, Cody (5547)</t>
        </is>
      </c>
    </row>
    <row r="354">
      <c r="A354" t="inlineStr">
        <is>
          <t>Moore, Ryan (8370)</t>
        </is>
      </c>
    </row>
    <row r="355">
      <c r="A355" t="inlineStr">
        <is>
          <t>Morden, Derek (1593)</t>
        </is>
      </c>
    </row>
    <row r="356">
      <c r="A356" t="inlineStr">
        <is>
          <t>Morgan, Geoff (9727)</t>
        </is>
      </c>
    </row>
    <row r="357">
      <c r="A357" t="inlineStr">
        <is>
          <t>Morgan, Jeffrey (9732)</t>
        </is>
      </c>
    </row>
    <row r="358">
      <c r="A358" t="inlineStr">
        <is>
          <t>Morningstar, Jeremy (0622)</t>
        </is>
      </c>
    </row>
    <row r="359">
      <c r="A359" t="inlineStr">
        <is>
          <t>Morningstar, Zyler (0240)</t>
        </is>
      </c>
    </row>
    <row r="360">
      <c r="A360" t="inlineStr">
        <is>
          <t>Morrison, Bernard (6031)</t>
        </is>
      </c>
    </row>
    <row r="361">
      <c r="A361" t="inlineStr">
        <is>
          <t>Moscardelli, Maurizio (1170)</t>
        </is>
      </c>
    </row>
    <row r="362">
      <c r="A362" t="inlineStr">
        <is>
          <t>Moss, Brandon (2966)</t>
        </is>
      </c>
    </row>
    <row r="363">
      <c r="A363" t="inlineStr">
        <is>
          <t>Moulton, Hunter (1554)</t>
        </is>
      </c>
    </row>
    <row r="364">
      <c r="A364" t="inlineStr">
        <is>
          <t>Mulyk, Mason (0320)</t>
        </is>
      </c>
    </row>
    <row r="365">
      <c r="A365" t="inlineStr">
        <is>
          <t>Munro, Austin (3426)</t>
        </is>
      </c>
    </row>
    <row r="366">
      <c r="A366" t="inlineStr">
        <is>
          <t>Murphy, Emily (2762)</t>
        </is>
      </c>
    </row>
    <row r="367">
      <c r="A367" t="inlineStr">
        <is>
          <t>Murphy, Sarah (5520)</t>
        </is>
      </c>
    </row>
    <row r="368">
      <c r="A368" t="inlineStr">
        <is>
          <t>Murray, Jason (3781)</t>
        </is>
      </c>
    </row>
    <row r="369">
      <c r="A369" t="inlineStr">
        <is>
          <t>Neill, Graham (0019)</t>
        </is>
      </c>
    </row>
    <row r="370">
      <c r="A370" t="inlineStr">
        <is>
          <t>Newcombe, Frederick (7646)</t>
        </is>
      </c>
    </row>
    <row r="371">
      <c r="A371" t="inlineStr">
        <is>
          <t>Newman, Devon (9838)</t>
        </is>
      </c>
    </row>
    <row r="372">
      <c r="A372" t="inlineStr">
        <is>
          <t>Newman, Robert (3248)</t>
        </is>
      </c>
    </row>
    <row r="373">
      <c r="A373" t="inlineStr">
        <is>
          <t>O'Donnell, Joshua (1131)</t>
        </is>
      </c>
    </row>
    <row r="374">
      <c r="A374" t="inlineStr">
        <is>
          <t>Oliver, Angus (2143)</t>
        </is>
      </c>
    </row>
    <row r="375">
      <c r="A375" t="inlineStr">
        <is>
          <t>Oulds, Thomas (7778)</t>
        </is>
      </c>
    </row>
    <row r="376">
      <c r="A376" t="inlineStr">
        <is>
          <t>Paquette, David (5317)</t>
        </is>
      </c>
    </row>
    <row r="377">
      <c r="A377" t="inlineStr">
        <is>
          <t>Paquette, Jean (2569)</t>
        </is>
      </c>
    </row>
    <row r="378">
      <c r="A378" t="inlineStr">
        <is>
          <t>Parizeau, Marc (1245)</t>
        </is>
      </c>
    </row>
    <row r="379">
      <c r="A379" t="inlineStr">
        <is>
          <t>Parkin, Leonard (1234)</t>
        </is>
      </c>
    </row>
    <row r="380">
      <c r="A380" t="inlineStr">
        <is>
          <t>Patel, Karan (3414)</t>
        </is>
      </c>
    </row>
    <row r="381">
      <c r="A381" t="inlineStr">
        <is>
          <t>Patterson, Brandon (6076)</t>
        </is>
      </c>
    </row>
    <row r="382">
      <c r="A382" t="inlineStr">
        <is>
          <t>Patterson-Bertin, Alexander (4426)</t>
        </is>
      </c>
    </row>
    <row r="383">
      <c r="A383" t="inlineStr">
        <is>
          <t>Pavey, Joey (4107)</t>
        </is>
      </c>
    </row>
    <row r="384">
      <c r="A384" t="inlineStr">
        <is>
          <t>Pawson, Jory (0785)</t>
        </is>
      </c>
    </row>
    <row r="385">
      <c r="A385" t="inlineStr">
        <is>
          <t>Pendlebury, Jay (7799)</t>
        </is>
      </c>
    </row>
    <row r="386">
      <c r="A386" t="inlineStr">
        <is>
          <t>Perchappe, Alvyn (9821)</t>
        </is>
      </c>
    </row>
    <row r="387">
      <c r="A387" t="inlineStr">
        <is>
          <t>Persichetti, Bruno (1885)</t>
        </is>
      </c>
    </row>
    <row r="388">
      <c r="A388" t="inlineStr">
        <is>
          <t>Pettit, Kyle (7707)</t>
        </is>
      </c>
    </row>
    <row r="389">
      <c r="A389" t="inlineStr">
        <is>
          <t>Pevec, Pete (2686)</t>
        </is>
      </c>
    </row>
    <row r="390">
      <c r="A390" t="inlineStr">
        <is>
          <t>Plain, Tyler (8456)</t>
        </is>
      </c>
    </row>
    <row r="391">
      <c r="A391" t="inlineStr">
        <is>
          <t>Plaine, Travis (0456)</t>
        </is>
      </c>
    </row>
    <row r="392">
      <c r="A392" t="inlineStr">
        <is>
          <t>Plug, Andrew (1810)</t>
        </is>
      </c>
    </row>
    <row r="393">
      <c r="A393" t="inlineStr">
        <is>
          <t>Pollock, Brent (8304)</t>
        </is>
      </c>
    </row>
    <row r="394">
      <c r="A394" t="inlineStr">
        <is>
          <t>Poore, Jordan (5473)</t>
        </is>
      </c>
    </row>
    <row r="395">
      <c r="A395" t="inlineStr">
        <is>
          <t>Powers, Dave (9528)</t>
        </is>
      </c>
    </row>
    <row r="396">
      <c r="A396" t="inlineStr">
        <is>
          <t>Powers, Kyle (5776)</t>
        </is>
      </c>
    </row>
    <row r="397">
      <c r="A397" t="inlineStr">
        <is>
          <t>Pugh, Jason (8888)</t>
        </is>
      </c>
    </row>
    <row r="398">
      <c r="A398" t="inlineStr">
        <is>
          <t>Pullen, Doug (2120)</t>
        </is>
      </c>
    </row>
    <row r="399">
      <c r="A399" t="inlineStr">
        <is>
          <t>Rabideau, Tyler (7202)</t>
        </is>
      </c>
    </row>
    <row r="400">
      <c r="A400" t="inlineStr">
        <is>
          <t>Ramos, Stephin (3766)</t>
        </is>
      </c>
    </row>
    <row r="401">
      <c r="A401" t="inlineStr">
        <is>
          <t>Randall, Jesse (4999)</t>
        </is>
      </c>
    </row>
    <row r="402">
      <c r="A402" t="inlineStr">
        <is>
          <t>Randall, Lainie (3274)</t>
        </is>
      </c>
    </row>
    <row r="403">
      <c r="A403" t="inlineStr">
        <is>
          <t>Rankin, Adam (3277)</t>
        </is>
      </c>
    </row>
    <row r="404">
      <c r="A404" t="inlineStr">
        <is>
          <t>Reid, Scott (9419)</t>
        </is>
      </c>
    </row>
    <row r="405">
      <c r="A405" t="inlineStr">
        <is>
          <t>Reid, Travis (7144)</t>
        </is>
      </c>
    </row>
    <row r="406">
      <c r="A406" t="inlineStr">
        <is>
          <t>Richard, Kate (5231)</t>
        </is>
      </c>
    </row>
    <row r="407">
      <c r="A407" t="inlineStr">
        <is>
          <t>Richardson, James (0008)</t>
        </is>
      </c>
    </row>
    <row r="408">
      <c r="A408" t="inlineStr">
        <is>
          <t>Riddell, Brandon (7103)</t>
        </is>
      </c>
    </row>
    <row r="409">
      <c r="A409" t="inlineStr">
        <is>
          <t>Ridley, Jessie (1822)</t>
        </is>
      </c>
    </row>
    <row r="410">
      <c r="A410" t="inlineStr">
        <is>
          <t>Ritchie, Drue (5776)</t>
        </is>
      </c>
    </row>
    <row r="411">
      <c r="A411" t="inlineStr">
        <is>
          <t>Rivest, Chad (7930)</t>
        </is>
      </c>
    </row>
    <row r="412">
      <c r="A412" t="inlineStr">
        <is>
          <t>Roberts, Jessica (5377)</t>
        </is>
      </c>
    </row>
    <row r="413">
      <c r="A413" t="inlineStr">
        <is>
          <t>Robinson, Ronny (7531)</t>
        </is>
      </c>
    </row>
    <row r="414">
      <c r="A414" t="inlineStr">
        <is>
          <t>Robinson, Steven (8118)</t>
        </is>
      </c>
    </row>
    <row r="415">
      <c r="A415" t="inlineStr">
        <is>
          <t>Rodrigues, Michael (5536)</t>
        </is>
      </c>
    </row>
    <row r="416">
      <c r="A416" t="inlineStr">
        <is>
          <t>Rodrigues, Robert (7280)</t>
        </is>
      </c>
    </row>
    <row r="417">
      <c r="A417" t="inlineStr">
        <is>
          <t>Rombouts, Cameron (2910)</t>
        </is>
      </c>
    </row>
    <row r="418">
      <c r="A418" t="inlineStr">
        <is>
          <t>Ropke, Shane (3314)</t>
        </is>
      </c>
    </row>
    <row r="419">
      <c r="A419" t="inlineStr">
        <is>
          <t>Ross, Hunter (9363)</t>
        </is>
      </c>
    </row>
    <row r="420">
      <c r="A420" t="inlineStr">
        <is>
          <t>Ross, Jordan (2923)</t>
        </is>
      </c>
    </row>
    <row r="421">
      <c r="A421" t="inlineStr">
        <is>
          <t>Rowe, Mike (6292)</t>
        </is>
      </c>
    </row>
    <row r="422">
      <c r="A422" t="inlineStr">
        <is>
          <t>Rummery, Doug (0609)</t>
        </is>
      </c>
    </row>
    <row r="423">
      <c r="A423" t="inlineStr">
        <is>
          <t>Russell, Sarah (6591)</t>
        </is>
      </c>
    </row>
    <row r="424">
      <c r="A424" t="inlineStr">
        <is>
          <t>Ryan, Dylan (6525)</t>
        </is>
      </c>
    </row>
    <row r="425">
      <c r="A425" t="inlineStr">
        <is>
          <t>Ryan, Lucas (6030)</t>
        </is>
      </c>
    </row>
    <row r="426">
      <c r="A426" t="inlineStr">
        <is>
          <t>Ryan, Wes (5000)</t>
        </is>
      </c>
    </row>
    <row r="427">
      <c r="A427" t="inlineStr">
        <is>
          <t>Sachs, Travis (5885)</t>
        </is>
      </c>
    </row>
    <row r="428">
      <c r="A428" t="inlineStr">
        <is>
          <t>Saddleback, Tariq (3407)</t>
        </is>
      </c>
    </row>
    <row r="429">
      <c r="A429" t="inlineStr">
        <is>
          <t>Salata, Nick (7350)</t>
        </is>
      </c>
    </row>
    <row r="430">
      <c r="A430" t="inlineStr">
        <is>
          <t>Sanger, Devon (1355)</t>
        </is>
      </c>
    </row>
    <row r="431">
      <c r="A431" t="inlineStr">
        <is>
          <t>Santavy, Bradyn (6830)</t>
        </is>
      </c>
    </row>
    <row r="432">
      <c r="A432" t="inlineStr">
        <is>
          <t>Saunders, Rick (6495)</t>
        </is>
      </c>
    </row>
    <row r="433">
      <c r="A433" t="inlineStr">
        <is>
          <t>Sayers, Mark (5465)</t>
        </is>
      </c>
    </row>
    <row r="434">
      <c r="A434" t="inlineStr">
        <is>
          <t>Scaletta, Vince (6164)</t>
        </is>
      </c>
    </row>
    <row r="435">
      <c r="A435" t="inlineStr">
        <is>
          <t>Schouten, Casey (8627)</t>
        </is>
      </c>
    </row>
    <row r="436">
      <c r="A436" t="inlineStr">
        <is>
          <t>Seabrook, Cole (6143)</t>
        </is>
      </c>
    </row>
    <row r="437">
      <c r="A437" t="inlineStr">
        <is>
          <t>Seery-Bunton, Dylan (1122)</t>
        </is>
      </c>
    </row>
    <row r="438">
      <c r="A438" t="inlineStr">
        <is>
          <t>Sepich, Daniel (8692)</t>
        </is>
      </c>
    </row>
    <row r="439">
      <c r="A439" t="inlineStr">
        <is>
          <t>Shah, Priyanshu (8542)</t>
        </is>
      </c>
    </row>
    <row r="440">
      <c r="A440" t="inlineStr">
        <is>
          <t>Shane, Joseph (5173)</t>
        </is>
      </c>
    </row>
    <row r="441">
      <c r="A441" t="inlineStr">
        <is>
          <t>Shaw, Jacob (1604)</t>
        </is>
      </c>
    </row>
    <row r="442">
      <c r="A442" t="inlineStr">
        <is>
          <t>Shepherd, Richard (1990)</t>
        </is>
      </c>
    </row>
    <row r="443">
      <c r="A443" t="inlineStr">
        <is>
          <t>Shoniker, Pat (0271)</t>
        </is>
      </c>
    </row>
    <row r="444">
      <c r="A444" t="inlineStr">
        <is>
          <t>Sicard, Kevin (7235)</t>
        </is>
      </c>
    </row>
    <row r="445">
      <c r="A445" t="inlineStr">
        <is>
          <t>Sicard, Steve (7801)</t>
        </is>
      </c>
    </row>
    <row r="446">
      <c r="A446" t="inlineStr">
        <is>
          <t>Siklosi, Benson (7663)</t>
        </is>
      </c>
    </row>
    <row r="447">
      <c r="A447" t="inlineStr">
        <is>
          <t>Silvestre, Joe (3451)</t>
        </is>
      </c>
    </row>
    <row r="448">
      <c r="A448" t="inlineStr">
        <is>
          <t>Simmons, Sam (3109)</t>
        </is>
      </c>
    </row>
    <row r="449">
      <c r="A449" t="inlineStr">
        <is>
          <t>Simms, Jordan (0100)</t>
        </is>
      </c>
    </row>
    <row r="450">
      <c r="A450" t="inlineStr">
        <is>
          <t>Simon, Ronald (0844)</t>
        </is>
      </c>
    </row>
    <row r="451">
      <c r="A451" t="inlineStr">
        <is>
          <t>Sinclair, Nathan (6767)</t>
        </is>
      </c>
    </row>
    <row r="452">
      <c r="A452" t="inlineStr">
        <is>
          <t>Smith, Brandon (2684)</t>
        </is>
      </c>
    </row>
    <row r="453">
      <c r="A453" t="inlineStr">
        <is>
          <t>Smith, Kevin (3550)</t>
        </is>
      </c>
    </row>
    <row r="454">
      <c r="A454" t="inlineStr">
        <is>
          <t>Smith, Michelle (0678)</t>
        </is>
      </c>
    </row>
    <row r="455">
      <c r="A455" t="inlineStr">
        <is>
          <t>Smith, Victoria (4220)</t>
        </is>
      </c>
    </row>
    <row r="456">
      <c r="A456" t="inlineStr">
        <is>
          <t>Smith, William (2807)</t>
        </is>
      </c>
    </row>
    <row r="457">
      <c r="A457" t="inlineStr">
        <is>
          <t>Solness, Kyle (4739)</t>
        </is>
      </c>
    </row>
    <row r="458">
      <c r="A458" t="inlineStr">
        <is>
          <t>Spinks, Danielle (9676)</t>
        </is>
      </c>
    </row>
    <row r="459">
      <c r="A459" t="inlineStr">
        <is>
          <t>St. Jean, Gavin (8589)</t>
        </is>
      </c>
    </row>
    <row r="460">
      <c r="A460" t="inlineStr">
        <is>
          <t>Stanfield, Tyler (5345)</t>
        </is>
      </c>
    </row>
    <row r="461">
      <c r="A461" t="inlineStr">
        <is>
          <t>Staples, Ryan (3407)</t>
        </is>
      </c>
    </row>
    <row r="462">
      <c r="A462" t="inlineStr">
        <is>
          <t>Stek, Noah (1982)</t>
        </is>
      </c>
    </row>
    <row r="463">
      <c r="A463" t="inlineStr">
        <is>
          <t>Stelpstra, Jordan (9568)</t>
        </is>
      </c>
    </row>
    <row r="464">
      <c r="A464" t="inlineStr">
        <is>
          <t>Stephenson, Jake (7387)</t>
        </is>
      </c>
    </row>
    <row r="465">
      <c r="A465" t="inlineStr">
        <is>
          <t>Stephenson, Kyle (3011)</t>
        </is>
      </c>
    </row>
    <row r="466">
      <c r="A466" t="inlineStr">
        <is>
          <t>Street, Carter (3069)</t>
        </is>
      </c>
    </row>
    <row r="467">
      <c r="A467" t="inlineStr">
        <is>
          <t>Sutton, Dan (5063)</t>
        </is>
      </c>
    </row>
    <row r="468">
      <c r="A468" t="inlineStr">
        <is>
          <t>Switzer, Steven (9172)</t>
        </is>
      </c>
    </row>
    <row r="469">
      <c r="A469" t="inlineStr">
        <is>
          <t>Sylvain, Phillip (8177)</t>
        </is>
      </c>
    </row>
    <row r="470">
      <c r="A470" t="inlineStr">
        <is>
          <t>Szabo, James (2420)</t>
        </is>
      </c>
    </row>
    <row r="471">
      <c r="A471" t="inlineStr">
        <is>
          <t>Szmiett, Adam (2474)</t>
        </is>
      </c>
    </row>
    <row r="472">
      <c r="A472" t="inlineStr">
        <is>
          <t>Taglione, Franco (8750)</t>
        </is>
      </c>
    </row>
    <row r="473">
      <c r="A473" t="inlineStr">
        <is>
          <t>Taylor, Adam (4183)</t>
        </is>
      </c>
    </row>
    <row r="474">
      <c r="A474" t="inlineStr">
        <is>
          <t>Taylor, Josh (2422)</t>
        </is>
      </c>
    </row>
    <row r="475">
      <c r="A475" t="inlineStr">
        <is>
          <t>Taylor, Scott (5280)</t>
        </is>
      </c>
    </row>
    <row r="476">
      <c r="A476" t="inlineStr">
        <is>
          <t>Taylor-Rawson, Sheldon (3001)</t>
        </is>
      </c>
    </row>
    <row r="477">
      <c r="A477" t="inlineStr">
        <is>
          <t>Thompson, Matt (5244)</t>
        </is>
      </c>
    </row>
    <row r="478">
      <c r="A478" t="inlineStr">
        <is>
          <t>Thompson, Tyler R (4840)</t>
        </is>
      </c>
    </row>
    <row r="479">
      <c r="A479" t="inlineStr">
        <is>
          <t>Thomson, Milu (5657)</t>
        </is>
      </c>
    </row>
    <row r="480">
      <c r="A480" t="inlineStr">
        <is>
          <t>Thorogood, Devyn (4803)</t>
        </is>
      </c>
    </row>
    <row r="481">
      <c r="A481" t="inlineStr">
        <is>
          <t>Thorogood, Rob (6321)</t>
        </is>
      </c>
    </row>
    <row r="482">
      <c r="A482" t="inlineStr">
        <is>
          <t>Timmington, Bryan (1373)</t>
        </is>
      </c>
    </row>
    <row r="483">
      <c r="A483" t="inlineStr">
        <is>
          <t>Timmington, James (3540)</t>
        </is>
      </c>
    </row>
    <row r="484">
      <c r="A484" t="inlineStr">
        <is>
          <t>Timperley, Mark (3385)</t>
        </is>
      </c>
    </row>
    <row r="485">
      <c r="A485" t="inlineStr">
        <is>
          <t>Tombs, Erin (3728)</t>
        </is>
      </c>
    </row>
    <row r="486">
      <c r="A486" t="inlineStr">
        <is>
          <t>Toms, Kevin (0743)</t>
        </is>
      </c>
    </row>
    <row r="487">
      <c r="A487" t="inlineStr">
        <is>
          <t>Torales, Noe (8530)</t>
        </is>
      </c>
    </row>
    <row r="488">
      <c r="A488" t="inlineStr">
        <is>
          <t>Towstiuc, Jordan (0021)</t>
        </is>
      </c>
    </row>
    <row r="489">
      <c r="A489" t="inlineStr">
        <is>
          <t>Travis, Aaron (4223)</t>
        </is>
      </c>
    </row>
    <row r="490">
      <c r="A490" t="inlineStr">
        <is>
          <t>Trenouth, Cory (4469)</t>
        </is>
      </c>
    </row>
    <row r="491">
      <c r="A491" t="inlineStr">
        <is>
          <t>Trepanier, Dennis (0838)</t>
        </is>
      </c>
    </row>
    <row r="492">
      <c r="A492" t="inlineStr">
        <is>
          <t>Trombley, Justin (7905)</t>
        </is>
      </c>
    </row>
    <row r="493">
      <c r="A493" t="inlineStr">
        <is>
          <t>Trowbridge, Christopher (6555)</t>
        </is>
      </c>
    </row>
    <row r="494">
      <c r="A494" t="inlineStr">
        <is>
          <t>Trowbridge, Nicolas (3692)</t>
        </is>
      </c>
    </row>
    <row r="495">
      <c r="A495" t="inlineStr">
        <is>
          <t>Trowbridge, Tim (5828)</t>
        </is>
      </c>
    </row>
    <row r="496">
      <c r="A496" t="inlineStr">
        <is>
          <t>Turner, Kendall (5870)</t>
        </is>
      </c>
    </row>
    <row r="497">
      <c r="A497" t="inlineStr">
        <is>
          <t>Tuttle, Jason (2442)</t>
        </is>
      </c>
    </row>
    <row r="498">
      <c r="A498" t="inlineStr">
        <is>
          <t>Unsworth, Marshall (0757)</t>
        </is>
      </c>
    </row>
    <row r="499">
      <c r="A499" t="inlineStr">
        <is>
          <t>Valiquette, Mark (4487)</t>
        </is>
      </c>
    </row>
    <row r="500">
      <c r="A500" t="inlineStr">
        <is>
          <t>Vallieres, Normand (3324)</t>
        </is>
      </c>
    </row>
    <row r="501">
      <c r="A501" t="inlineStr">
        <is>
          <t>VanDamme, Michael (8420)</t>
        </is>
      </c>
    </row>
    <row r="502">
      <c r="A502" t="inlineStr">
        <is>
          <t>VandenBoer, Shane (1351)</t>
        </is>
      </c>
    </row>
    <row r="503">
      <c r="A503" t="inlineStr">
        <is>
          <t>VandenEnden, Tyler (6170)</t>
        </is>
      </c>
    </row>
    <row r="504">
      <c r="A504" t="inlineStr">
        <is>
          <t>Vandenberg, John (8140)</t>
        </is>
      </c>
    </row>
    <row r="505">
      <c r="A505" t="inlineStr">
        <is>
          <t>Vandenboer, Shane (1351)</t>
        </is>
      </c>
    </row>
    <row r="506">
      <c r="A506" t="inlineStr">
        <is>
          <t>VanderSlagt, Randy (0166)</t>
        </is>
      </c>
    </row>
    <row r="507">
      <c r="A507" t="inlineStr">
        <is>
          <t>Vankerkhoven, Curt (5524)</t>
        </is>
      </c>
    </row>
    <row r="508">
      <c r="A508" t="inlineStr">
        <is>
          <t>Vanos, Kenneth (1113)</t>
        </is>
      </c>
    </row>
    <row r="509">
      <c r="A509" t="inlineStr">
        <is>
          <t>Vansickle, Ashley (9676)</t>
        </is>
      </c>
    </row>
    <row r="510">
      <c r="A510" t="inlineStr">
        <is>
          <t>Veenendaal, Tyler (0104)</t>
        </is>
      </c>
    </row>
    <row r="511">
      <c r="A511" t="inlineStr">
        <is>
          <t>Verlinde, Shawn (1988)</t>
        </is>
      </c>
    </row>
    <row r="512">
      <c r="A512" t="inlineStr">
        <is>
          <t>Vickers, Adam (8430)</t>
        </is>
      </c>
    </row>
    <row r="513">
      <c r="A513" t="inlineStr">
        <is>
          <t>Viney, Andrew (3330)</t>
        </is>
      </c>
    </row>
    <row r="514">
      <c r="A514" t="inlineStr">
        <is>
          <t>Violette, Mike (1926)</t>
        </is>
      </c>
    </row>
    <row r="515">
      <c r="A515" t="inlineStr">
        <is>
          <t>Vogelgsang, Austin (1686)</t>
        </is>
      </c>
    </row>
    <row r="516">
      <c r="A516" t="inlineStr">
        <is>
          <t>Vonderrecke, Kurt (4117)</t>
        </is>
      </c>
    </row>
    <row r="517">
      <c r="A517" t="inlineStr">
        <is>
          <t>Walters, Julie (0223)</t>
        </is>
      </c>
    </row>
    <row r="518">
      <c r="A518" t="inlineStr">
        <is>
          <t>Wasson, Cody (2361)</t>
        </is>
      </c>
    </row>
    <row r="519">
      <c r="A519" t="inlineStr">
        <is>
          <t>Wasson, Ron (9588)</t>
        </is>
      </c>
    </row>
    <row r="520">
      <c r="A520" t="inlineStr">
        <is>
          <t>Watts, Hudson (4719)</t>
        </is>
      </c>
    </row>
    <row r="521">
      <c r="A521" t="inlineStr">
        <is>
          <t>Webster, Cole (2340)</t>
        </is>
      </c>
    </row>
    <row r="522">
      <c r="A522" t="inlineStr">
        <is>
          <t>Westgate, Edward (7175)</t>
        </is>
      </c>
    </row>
    <row r="523">
      <c r="A523" t="inlineStr">
        <is>
          <t>White, Cory (2541)</t>
        </is>
      </c>
    </row>
    <row r="524">
      <c r="A524" t="inlineStr">
        <is>
          <t>White, Jake (5223)</t>
        </is>
      </c>
    </row>
    <row r="525">
      <c r="A525" t="inlineStr">
        <is>
          <t>White, Justin (2956)</t>
        </is>
      </c>
    </row>
    <row r="526">
      <c r="A526" t="inlineStr">
        <is>
          <t>Wiles, Tim (2022)</t>
        </is>
      </c>
    </row>
    <row r="527">
      <c r="A527" t="inlineStr">
        <is>
          <t>Wilkinson, Dan (1892)</t>
        </is>
      </c>
    </row>
    <row r="528">
      <c r="A528" t="inlineStr">
        <is>
          <t>Willemse, Johnny (8927)</t>
        </is>
      </c>
    </row>
    <row r="529">
      <c r="A529" t="inlineStr">
        <is>
          <t>Williams, Daniel (7693)</t>
        </is>
      </c>
    </row>
    <row r="530">
      <c r="A530" t="inlineStr">
        <is>
          <t>Wilson, Benjamin (7329)</t>
        </is>
      </c>
    </row>
    <row r="531">
      <c r="A531" t="inlineStr">
        <is>
          <t>Wilson, Justin (1053)</t>
        </is>
      </c>
    </row>
    <row r="532">
      <c r="A532" t="inlineStr">
        <is>
          <t>Wilson, Matt (6945)</t>
        </is>
      </c>
    </row>
    <row r="533">
      <c r="A533" t="inlineStr">
        <is>
          <t>Winger, Joe (0528)</t>
        </is>
      </c>
    </row>
    <row r="534">
      <c r="A534" t="inlineStr">
        <is>
          <t>Woudenberg, Rick (8407)</t>
        </is>
      </c>
    </row>
    <row r="535">
      <c r="A535" t="inlineStr">
        <is>
          <t>Woudenberg, Tanner (7307)</t>
        </is>
      </c>
    </row>
    <row r="536">
      <c r="A536" t="inlineStr">
        <is>
          <t>Wray, Vasilios (9700)</t>
        </is>
      </c>
    </row>
    <row r="537">
      <c r="A537" t="inlineStr">
        <is>
          <t>Wright, Dan (8705)</t>
        </is>
      </c>
    </row>
    <row r="538">
      <c r="A538" t="inlineStr">
        <is>
          <t>Wright, Eric (8160)</t>
        </is>
      </c>
    </row>
    <row r="539">
      <c r="A539" t="inlineStr">
        <is>
          <t>Wright, Jarod (0761)</t>
        </is>
      </c>
    </row>
    <row r="540">
      <c r="A540" t="inlineStr">
        <is>
          <t>Wrightman, Jarrod (1206)</t>
        </is>
      </c>
    </row>
    <row r="541">
      <c r="A541" t="inlineStr">
        <is>
          <t>Wylie, Jordan (7542)</t>
        </is>
      </c>
    </row>
    <row r="542">
      <c r="A542" t="inlineStr">
        <is>
          <t>Young, Chad (9054)</t>
        </is>
      </c>
    </row>
    <row r="543">
      <c r="A543" t="inlineStr">
        <is>
          <t>Young, Lee (6501)</t>
        </is>
      </c>
    </row>
    <row r="544">
      <c r="A544" t="inlineStr">
        <is>
          <t>Zeytinoglu, Kaleb (1409)</t>
        </is>
      </c>
    </row>
    <row r="545">
      <c r="A545" t="inlineStr">
        <is>
          <t>Zimoch-Powers, Dale (9676)</t>
        </is>
      </c>
    </row>
    <row r="546">
      <c r="A546" t="inlineStr">
        <is>
          <t>Zurfluh, Nicholas (0702)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89"/>
  <sheetViews>
    <sheetView workbookViewId="0">
      <selection activeCell="A5" sqref="A5"/>
    </sheetView>
  </sheetViews>
  <sheetFormatPr baseColWidth="8" defaultRowHeight="14.4"/>
  <cols>
    <col width="20.109375" bestFit="1" customWidth="1" min="1" max="1"/>
  </cols>
  <sheetData>
    <row r="1">
      <c r="A1" t="inlineStr">
        <is>
          <t>Trades</t>
        </is>
      </c>
    </row>
    <row r="2">
      <c r="A2" t="inlineStr">
        <is>
          <t>3D CAD</t>
        </is>
      </c>
    </row>
    <row r="3">
      <c r="A3" t="inlineStr">
        <is>
          <t>3D CAD Jr.</t>
        </is>
      </c>
    </row>
    <row r="4">
      <c r="A4" t="inlineStr">
        <is>
          <t>BM - 1</t>
        </is>
      </c>
    </row>
    <row r="5">
      <c r="A5" t="inlineStr">
        <is>
          <t>BM - 2</t>
        </is>
      </c>
    </row>
    <row r="6">
      <c r="A6" t="inlineStr">
        <is>
          <t>BM - 3</t>
        </is>
      </c>
    </row>
    <row r="7">
      <c r="A7" t="inlineStr">
        <is>
          <t>BM - 4</t>
        </is>
      </c>
    </row>
    <row r="8">
      <c r="A8" t="inlineStr">
        <is>
          <t>BM - FM</t>
        </is>
      </c>
    </row>
    <row r="9">
      <c r="A9" t="inlineStr">
        <is>
          <t>BM - GF</t>
        </is>
      </c>
    </row>
    <row r="10">
      <c r="A10" t="inlineStr">
        <is>
          <t>BM - JM</t>
        </is>
      </c>
    </row>
    <row r="11">
      <c r="A11" t="inlineStr">
        <is>
          <t>BM - Welder</t>
        </is>
      </c>
    </row>
    <row r="12">
      <c r="A12" t="inlineStr">
        <is>
          <t>CARP - 1</t>
        </is>
      </c>
    </row>
    <row r="13">
      <c r="A13" t="inlineStr">
        <is>
          <t>CARP - 2</t>
        </is>
      </c>
    </row>
    <row r="14">
      <c r="A14" t="inlineStr">
        <is>
          <t>CARP - 3</t>
        </is>
      </c>
    </row>
    <row r="15">
      <c r="A15" t="inlineStr">
        <is>
          <t>CARP - 4</t>
        </is>
      </c>
    </row>
    <row r="16">
      <c r="A16" t="inlineStr">
        <is>
          <t>CARP - 5</t>
        </is>
      </c>
    </row>
    <row r="17">
      <c r="A17" t="inlineStr">
        <is>
          <t>CARP - 6</t>
        </is>
      </c>
    </row>
    <row r="18">
      <c r="A18" t="inlineStr">
        <is>
          <t>CARP - AFM</t>
        </is>
      </c>
    </row>
    <row r="19">
      <c r="A19" t="inlineStr">
        <is>
          <t>CARP - FM</t>
        </is>
      </c>
    </row>
    <row r="20">
      <c r="A20" t="inlineStr">
        <is>
          <t>CARP - GF</t>
        </is>
      </c>
    </row>
    <row r="21">
      <c r="A21" t="inlineStr">
        <is>
          <t>CARP - JM</t>
        </is>
      </c>
    </row>
    <row r="22">
      <c r="A22" t="inlineStr">
        <is>
          <t>Const Coord</t>
        </is>
      </c>
    </row>
    <row r="23">
      <c r="A23" t="inlineStr">
        <is>
          <t>EHS - Advisor</t>
        </is>
      </c>
    </row>
    <row r="24">
      <c r="A24" t="inlineStr">
        <is>
          <t>EHS - Manager</t>
        </is>
      </c>
    </row>
    <row r="25">
      <c r="A25" t="inlineStr">
        <is>
          <t>FLS</t>
        </is>
      </c>
    </row>
    <row r="26">
      <c r="A26" t="inlineStr">
        <is>
          <t>Hydrostor</t>
        </is>
      </c>
    </row>
    <row r="27">
      <c r="A27" t="inlineStr">
        <is>
          <t>INS - 1</t>
        </is>
      </c>
    </row>
    <row r="28">
      <c r="A28" t="inlineStr">
        <is>
          <t>INS - 2</t>
        </is>
      </c>
    </row>
    <row r="29">
      <c r="A29" t="inlineStr">
        <is>
          <t>INS - 3</t>
        </is>
      </c>
    </row>
    <row r="30">
      <c r="A30" t="inlineStr">
        <is>
          <t>INS - 4</t>
        </is>
      </c>
    </row>
    <row r="31">
      <c r="A31" t="inlineStr">
        <is>
          <t>INS - AF</t>
        </is>
      </c>
    </row>
    <row r="32">
      <c r="A32" t="inlineStr">
        <is>
          <t>INS - FM</t>
        </is>
      </c>
    </row>
    <row r="33">
      <c r="A33" t="inlineStr">
        <is>
          <t>INS - GF</t>
        </is>
      </c>
    </row>
    <row r="34">
      <c r="A34" t="inlineStr">
        <is>
          <t>INS - JM</t>
        </is>
      </c>
    </row>
    <row r="35">
      <c r="A35" t="inlineStr">
        <is>
          <t>INS-Prob</t>
        </is>
      </c>
    </row>
    <row r="36">
      <c r="A36" t="inlineStr">
        <is>
          <t>INS-Prov</t>
        </is>
      </c>
    </row>
    <row r="37">
      <c r="A37" t="inlineStr">
        <is>
          <t>IW - 1</t>
        </is>
      </c>
    </row>
    <row r="38">
      <c r="A38" t="inlineStr">
        <is>
          <t>IW - 2</t>
        </is>
      </c>
    </row>
    <row r="39">
      <c r="A39" t="inlineStr">
        <is>
          <t>IW - 3</t>
        </is>
      </c>
    </row>
    <row r="40">
      <c r="A40" t="inlineStr">
        <is>
          <t>IW - 4</t>
        </is>
      </c>
    </row>
    <row r="41">
      <c r="A41" t="inlineStr">
        <is>
          <t>IW - 5</t>
        </is>
      </c>
    </row>
    <row r="42">
      <c r="A42" t="inlineStr">
        <is>
          <t>IW - 6</t>
        </is>
      </c>
    </row>
    <row r="43">
      <c r="A43" t="inlineStr">
        <is>
          <t>IW - FM</t>
        </is>
      </c>
    </row>
    <row r="44">
      <c r="A44" t="inlineStr">
        <is>
          <t>IW - GF</t>
        </is>
      </c>
    </row>
    <row r="45">
      <c r="A45" t="inlineStr">
        <is>
          <t>IW - JM</t>
        </is>
      </c>
    </row>
    <row r="46">
      <c r="A46" t="inlineStr">
        <is>
          <t>LAB - 1</t>
        </is>
      </c>
    </row>
    <row r="47">
      <c r="A47" t="inlineStr">
        <is>
          <t>LAB - 2</t>
        </is>
      </c>
    </row>
    <row r="48">
      <c r="A48" t="inlineStr">
        <is>
          <t>LAB - GAF</t>
        </is>
      </c>
    </row>
    <row r="49">
      <c r="A49" t="inlineStr">
        <is>
          <t>LAB - GF</t>
        </is>
      </c>
    </row>
    <row r="50">
      <c r="A50" t="inlineStr">
        <is>
          <t>LAB - JM</t>
        </is>
      </c>
    </row>
    <row r="51">
      <c r="A51" t="inlineStr">
        <is>
          <t>LAB - NWF</t>
        </is>
      </c>
    </row>
    <row r="52">
      <c r="A52" t="inlineStr">
        <is>
          <t>LAB - PM</t>
        </is>
      </c>
    </row>
    <row r="53">
      <c r="A53" t="inlineStr">
        <is>
          <t>LAB - WF</t>
        </is>
      </c>
    </row>
    <row r="54">
      <c r="A54" t="inlineStr">
        <is>
          <t>MACH - FM</t>
        </is>
      </c>
    </row>
    <row r="55">
      <c r="A55" t="inlineStr">
        <is>
          <t>MACH - JM</t>
        </is>
      </c>
    </row>
    <row r="56">
      <c r="A56" t="inlineStr">
        <is>
          <t>MW - 1</t>
        </is>
      </c>
    </row>
    <row r="57">
      <c r="A57" t="inlineStr">
        <is>
          <t>MW - 2</t>
        </is>
      </c>
    </row>
    <row r="58">
      <c r="A58" t="inlineStr">
        <is>
          <t>MW - 3</t>
        </is>
      </c>
    </row>
    <row r="59">
      <c r="A59" t="inlineStr">
        <is>
          <t>MW - 4</t>
        </is>
      </c>
    </row>
    <row r="60">
      <c r="A60" t="inlineStr">
        <is>
          <t>MW - AF</t>
        </is>
      </c>
    </row>
    <row r="61">
      <c r="A61" t="inlineStr">
        <is>
          <t>MW - FM</t>
        </is>
      </c>
    </row>
    <row r="62">
      <c r="A62" t="inlineStr">
        <is>
          <t>MW - GF</t>
        </is>
      </c>
    </row>
    <row r="63">
      <c r="A63" t="inlineStr">
        <is>
          <t>MW - JM</t>
        </is>
      </c>
    </row>
    <row r="64">
      <c r="A64" t="inlineStr">
        <is>
          <t>MW - WFM</t>
        </is>
      </c>
    </row>
    <row r="65">
      <c r="A65" t="inlineStr">
        <is>
          <t>OE - FM</t>
        </is>
      </c>
    </row>
    <row r="66">
      <c r="A66" t="inlineStr">
        <is>
          <t>OE - JM</t>
        </is>
      </c>
    </row>
    <row r="67">
      <c r="A67" t="inlineStr">
        <is>
          <t>OMIT</t>
        </is>
      </c>
    </row>
    <row r="68">
      <c r="A68" t="inlineStr">
        <is>
          <t>PC - Controller</t>
        </is>
      </c>
    </row>
    <row r="69">
      <c r="A69" t="inlineStr">
        <is>
          <t>PC - Data Analyst</t>
        </is>
      </c>
    </row>
    <row r="70">
      <c r="A70" t="inlineStr">
        <is>
          <t>PC - Planner</t>
        </is>
      </c>
    </row>
    <row r="71">
      <c r="A71" t="inlineStr">
        <is>
          <t>PC - Sched</t>
        </is>
      </c>
    </row>
    <row r="72">
      <c r="A72" t="inlineStr">
        <is>
          <t>PF - 1</t>
        </is>
      </c>
    </row>
    <row r="73">
      <c r="A73" t="inlineStr">
        <is>
          <t>PF - 2</t>
        </is>
      </c>
    </row>
    <row r="74">
      <c r="A74" t="inlineStr">
        <is>
          <t>PF - 3</t>
        </is>
      </c>
    </row>
    <row r="75">
      <c r="A75" t="inlineStr">
        <is>
          <t>PF - 4</t>
        </is>
      </c>
    </row>
    <row r="76">
      <c r="A76" t="inlineStr">
        <is>
          <t>PF - 5</t>
        </is>
      </c>
    </row>
    <row r="77">
      <c r="A77" t="inlineStr">
        <is>
          <t>PF - AF</t>
        </is>
      </c>
    </row>
    <row r="78">
      <c r="A78" t="inlineStr">
        <is>
          <t>PF - Foreman</t>
        </is>
      </c>
    </row>
    <row r="79">
      <c r="A79" t="inlineStr">
        <is>
          <t>PF - GF</t>
        </is>
      </c>
    </row>
    <row r="80">
      <c r="A80" t="inlineStr">
        <is>
          <t>PF - JM</t>
        </is>
      </c>
    </row>
    <row r="81">
      <c r="A81" t="inlineStr">
        <is>
          <t>PF - Welder</t>
        </is>
      </c>
    </row>
    <row r="82">
      <c r="A82" t="inlineStr">
        <is>
          <t>PIPE - Designer</t>
        </is>
      </c>
    </row>
    <row r="83">
      <c r="A83" t="inlineStr">
        <is>
          <t>PM - PM &amp; Estimating</t>
        </is>
      </c>
    </row>
    <row r="84">
      <c r="A84" t="inlineStr">
        <is>
          <t>PM - Superintendent</t>
        </is>
      </c>
    </row>
    <row r="85">
      <c r="A85" t="inlineStr">
        <is>
          <t>PROC - Specialist</t>
        </is>
      </c>
    </row>
    <row r="86">
      <c r="A86" t="inlineStr">
        <is>
          <t>QC - Advisor</t>
        </is>
      </c>
    </row>
    <row r="87">
      <c r="A87" t="inlineStr">
        <is>
          <t>QC - Manager</t>
        </is>
      </c>
    </row>
    <row r="88">
      <c r="A88" t="inlineStr">
        <is>
          <t>Teamster</t>
        </is>
      </c>
    </row>
    <row r="89">
      <c r="A89" t="inlineStr">
        <is>
          <t>Timekeeper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Q53"/>
  <sheetViews>
    <sheetView showGridLines="0" tabSelected="1" zoomScale="85" zoomScaleNormal="85" zoomScaleSheetLayoutView="85" workbookViewId="0">
      <pane xSplit="16" ySplit="11" topLeftCell="Q12" activePane="bottomRight" state="frozen"/>
      <selection activeCell="C5" sqref="C5"/>
      <selection pane="topRight" activeCell="L5" sqref="L5"/>
      <selection pane="bottomLeft" activeCell="C12" sqref="C12"/>
      <selection pane="bottomRight" activeCell="F9" sqref="F9"/>
    </sheetView>
  </sheetViews>
  <sheetFormatPr baseColWidth="8" defaultColWidth="8.88671875" defaultRowHeight="14.4"/>
  <cols>
    <col hidden="1" width="12.88671875" customWidth="1" min="1" max="1"/>
    <col hidden="1" width="37.88671875" customWidth="1" min="2" max="2"/>
    <col width="23.109375" customWidth="1" min="3" max="3"/>
    <col width="13.109375" customWidth="1" min="4" max="4"/>
    <col width="7.33203125" customWidth="1" min="5" max="7"/>
    <col width="11.6640625" customWidth="1" min="8" max="8"/>
    <col width="15.88671875" customWidth="1" min="9" max="9"/>
    <col width="16.88671875" customWidth="1" min="10" max="10"/>
    <col width="3.6640625" customWidth="1" min="11" max="16"/>
    <col width="13.109375" customWidth="1" style="37" min="17" max="17"/>
    <col width="6" customWidth="1" min="18" max="20"/>
    <col width="13.6640625" customWidth="1" min="21" max="21"/>
    <col width="0.6640625" customWidth="1" min="22" max="22"/>
    <col width="13.109375" customWidth="1" min="23" max="23"/>
    <col width="6.109375" customWidth="1" min="24" max="26"/>
    <col width="13.6640625" customWidth="1" min="27" max="27"/>
    <col width="0.6640625" customWidth="1" min="28" max="28"/>
    <col width="13.109375" customWidth="1" min="29" max="29"/>
    <col width="6.109375" customWidth="1" min="30" max="32"/>
    <col width="13.6640625" customWidth="1" min="33" max="33"/>
    <col width="0.6640625" customWidth="1" min="34" max="34"/>
    <col width="13.109375" customWidth="1" min="35" max="35"/>
    <col width="6.109375" customWidth="1" min="36" max="38"/>
    <col width="13.6640625" customWidth="1" min="39" max="39"/>
    <col width="0.6640625" customWidth="1" min="40" max="40"/>
    <col width="13.109375" customWidth="1" min="41" max="41"/>
    <col width="6.109375" customWidth="1" min="42" max="44"/>
    <col width="13.6640625" customWidth="1" min="45" max="45"/>
    <col width="0.6640625" customWidth="1" min="46" max="46"/>
    <col width="13.109375" customWidth="1" min="47" max="47"/>
    <col width="6.109375" customWidth="1" min="48" max="50"/>
    <col width="13.6640625" customWidth="1" min="51" max="51"/>
    <col width="0.6640625" customWidth="1" min="52" max="52"/>
    <col width="13.109375" customWidth="1" min="53" max="53"/>
    <col width="6.109375" customWidth="1" min="54" max="56"/>
    <col width="13.6640625" customWidth="1" min="57" max="57"/>
    <col width="0.6640625" customWidth="1" min="58" max="58"/>
    <col width="13.109375" customWidth="1" min="59" max="59"/>
    <col width="6.109375" customWidth="1" min="60" max="62"/>
    <col width="13.6640625" customWidth="1" min="63" max="63"/>
    <col width="0.6640625" customWidth="1" min="64" max="64"/>
    <col width="13.109375" customWidth="1" min="65" max="65"/>
    <col width="6.109375" customWidth="1" min="66" max="68"/>
    <col width="13.6640625" customWidth="1" min="69" max="69"/>
    <col width="0.6640625" customWidth="1" min="70" max="70"/>
    <col width="13.109375" customWidth="1" min="71" max="71"/>
    <col width="6.109375" customWidth="1" min="72" max="74"/>
    <col width="13.6640625" customWidth="1" min="75" max="75"/>
    <col width="0.6640625" customWidth="1" min="76" max="76"/>
    <col width="13.109375" customWidth="1" min="77" max="77"/>
    <col width="6.109375" customWidth="1" min="78" max="80"/>
    <col width="13.6640625" customWidth="1" min="81" max="81"/>
    <col width="0.6640625" customWidth="1" min="82" max="82"/>
    <col width="13.109375" customWidth="1" min="83" max="83"/>
    <col width="6.109375" customWidth="1" min="84" max="86"/>
    <col width="13.6640625" customWidth="1" min="87" max="87"/>
    <col width="0.6640625" customWidth="1" min="88" max="88"/>
    <col width="13.109375" customWidth="1" min="89" max="89"/>
    <col width="6.109375" customWidth="1" min="90" max="92"/>
    <col width="13.6640625" customWidth="1" min="93" max="93"/>
    <col width="0.6640625" customWidth="1" min="94" max="94"/>
    <col width="13.109375" customWidth="1" min="95" max="95"/>
    <col width="6.109375" customWidth="1" min="96" max="98"/>
    <col width="13.6640625" customWidth="1" min="99" max="99"/>
    <col width="0.6640625" customWidth="1" min="100" max="100"/>
    <col width="13.109375" customWidth="1" min="101" max="101"/>
    <col width="6.109375" customWidth="1" min="102" max="104"/>
    <col width="13.6640625" customWidth="1" min="105" max="105"/>
    <col width="0.6640625" customWidth="1" min="106" max="106"/>
    <col width="13.109375" customWidth="1" min="107" max="107"/>
    <col width="6.109375" customWidth="1" min="108" max="110"/>
    <col width="13.6640625" customWidth="1" min="111" max="111"/>
    <col width="0.6640625" customWidth="1" min="112" max="112"/>
    <col width="13.109375" customWidth="1" min="113" max="113"/>
    <col width="6.109375" customWidth="1" min="114" max="116"/>
    <col width="13.6640625" customWidth="1" min="117" max="117"/>
    <col width="0.6640625" customWidth="1" min="118" max="118"/>
    <col width="13.109375" customWidth="1" min="119" max="119"/>
    <col width="6.109375" customWidth="1" min="120" max="122"/>
    <col width="13.6640625" customWidth="1" min="123" max="123"/>
    <col width="0.6640625" customWidth="1" min="124" max="124"/>
    <col width="13.109375" customWidth="1" min="125" max="125"/>
    <col width="6.109375" customWidth="1" min="126" max="128"/>
    <col width="13.6640625" customWidth="1" min="129" max="129"/>
    <col width="0.6640625" customWidth="1" min="130" max="130"/>
    <col width="13.109375" customWidth="1" min="131" max="131"/>
    <col width="6.109375" customWidth="1" min="132" max="134"/>
    <col width="13.6640625" customWidth="1" min="135" max="135"/>
    <col width="0.6640625" customWidth="1" min="136" max="136"/>
    <col width="13.109375" customWidth="1" min="137" max="137"/>
    <col width="6.109375" customWidth="1" min="138" max="140"/>
    <col width="13.6640625" customWidth="1" min="141" max="141"/>
    <col width="0.6640625" customWidth="1" min="142" max="142"/>
    <col width="13.109375" customWidth="1" min="143" max="143"/>
    <col width="6.109375" customWidth="1" min="144" max="146"/>
    <col width="13.6640625" customWidth="1" min="147" max="147"/>
  </cols>
  <sheetData>
    <row r="1" hidden="1" customFormat="1" s="13">
      <c r="A1" s="13" t="inlineStr">
        <is>
          <t>Summary</t>
        </is>
      </c>
      <c r="B1" s="13" t="inlineStr">
        <is>
          <t>Summary</t>
        </is>
      </c>
      <c r="C1" s="48" t="n">
        <v>43831</v>
      </c>
      <c r="Q1" s="20">
        <f>Q7&amp;"Separate123"&amp;IF(Q53="","XYZ",Q53)&amp;"Separate123"&amp;$D$5&amp;"Separate123"&amp;"Column"&amp;COLUMN()</f>
        <v/>
      </c>
      <c r="R1" s="13">
        <f>Q1</f>
        <v/>
      </c>
      <c r="S1" s="13">
        <f>Q1</f>
        <v/>
      </c>
      <c r="T1" s="13">
        <f>Q1</f>
        <v/>
      </c>
      <c r="U1" s="13">
        <f>Q1</f>
        <v/>
      </c>
      <c r="V1" s="53" t="n"/>
      <c r="W1" s="20">
        <f>W7&amp;"Separate123"&amp;IF(W53="","XYZ",W53)&amp;"Separate123"&amp;$D$5&amp;"Separate123"&amp;"Column"&amp;COLUMN()</f>
        <v/>
      </c>
      <c r="X1" s="13">
        <f>W1</f>
        <v/>
      </c>
      <c r="Y1" s="13">
        <f>W1</f>
        <v/>
      </c>
      <c r="Z1" s="13">
        <f>W1</f>
        <v/>
      </c>
      <c r="AA1" s="13">
        <f>W1</f>
        <v/>
      </c>
      <c r="AB1" s="53" t="n"/>
      <c r="AC1" s="20">
        <f>AC7&amp;"Separate123"&amp;IF(AC53="","XYZ",AC53)&amp;"Separate123"&amp;$D$5&amp;"Separate123"&amp;"Column"&amp;COLUMN()</f>
        <v/>
      </c>
      <c r="AD1" s="13">
        <f>AC1</f>
        <v/>
      </c>
      <c r="AE1" s="13">
        <f>AC1</f>
        <v/>
      </c>
      <c r="AF1" s="13">
        <f>AC1</f>
        <v/>
      </c>
      <c r="AG1" s="13">
        <f>AC1</f>
        <v/>
      </c>
      <c r="AH1" s="53" t="n"/>
      <c r="AI1" s="20">
        <f>AI7&amp;"Separate123"&amp;IF(AI53="","XYZ",AI53)&amp;"Separate123"&amp;$D$5&amp;"Separate123"&amp;"Column"&amp;COLUMN()</f>
        <v/>
      </c>
      <c r="AJ1" s="13">
        <f>AI1</f>
        <v/>
      </c>
      <c r="AK1" s="13">
        <f>AI1</f>
        <v/>
      </c>
      <c r="AL1" s="13">
        <f>AI1</f>
        <v/>
      </c>
      <c r="AM1" s="13">
        <f>AI1</f>
        <v/>
      </c>
      <c r="AN1" s="53" t="n"/>
      <c r="AO1" s="20">
        <f>AO7&amp;"Separate123"&amp;IF(AO53="","XYZ",AO53)&amp;"Separate123"&amp;$D$5&amp;"Separate123"&amp;"Column"&amp;COLUMN()</f>
        <v/>
      </c>
      <c r="AP1" s="13">
        <f>AO1</f>
        <v/>
      </c>
      <c r="AQ1" s="13">
        <f>AO1</f>
        <v/>
      </c>
      <c r="AR1" s="13">
        <f>AO1</f>
        <v/>
      </c>
      <c r="AS1" s="13">
        <f>AO1</f>
        <v/>
      </c>
      <c r="AT1" s="53" t="n"/>
      <c r="AU1" s="20">
        <f>AU7&amp;"Separate123"&amp;IF(AU53="","XYZ",AU53)&amp;"Separate123"&amp;$D$5&amp;"Separate123"&amp;"Column"&amp;COLUMN()</f>
        <v/>
      </c>
      <c r="AV1" s="13">
        <f>AU1</f>
        <v/>
      </c>
      <c r="AW1" s="13">
        <f>AU1</f>
        <v/>
      </c>
      <c r="AX1" s="13">
        <f>AU1</f>
        <v/>
      </c>
      <c r="AY1" s="13">
        <f>AU1</f>
        <v/>
      </c>
      <c r="AZ1" s="53" t="n"/>
      <c r="BA1" s="20">
        <f>BA7&amp;"Separate123"&amp;IF(BA53="","XYZ",BA53)&amp;"Separate123"&amp;$D$5&amp;"Separate123"&amp;"Column"&amp;COLUMN()</f>
        <v/>
      </c>
      <c r="BB1" s="13">
        <f>BA1</f>
        <v/>
      </c>
      <c r="BC1" s="13">
        <f>BA1</f>
        <v/>
      </c>
      <c r="BD1" s="13">
        <f>BA1</f>
        <v/>
      </c>
      <c r="BE1" s="13">
        <f>BA1</f>
        <v/>
      </c>
      <c r="BF1" s="53" t="n"/>
      <c r="BG1" s="20">
        <f>BG7&amp;"Separate123"&amp;IF(BG53="","XYZ",BG53)&amp;"Separate123"&amp;$D$5&amp;"Separate123"&amp;"Column"&amp;COLUMN()</f>
        <v/>
      </c>
      <c r="BH1" s="13">
        <f>BG1</f>
        <v/>
      </c>
      <c r="BI1" s="13">
        <f>BG1</f>
        <v/>
      </c>
      <c r="BJ1" s="13">
        <f>BG1</f>
        <v/>
      </c>
      <c r="BK1" s="13">
        <f>BG1</f>
        <v/>
      </c>
      <c r="BL1" s="53" t="n"/>
      <c r="BM1" s="20">
        <f>BM7&amp;"Separate123"&amp;IF(BM53="","XYZ",BM53)&amp;"Separate123"&amp;$D$5&amp;"Separate123"&amp;"Column"&amp;COLUMN()</f>
        <v/>
      </c>
      <c r="BN1" s="13">
        <f>BM1</f>
        <v/>
      </c>
      <c r="BO1" s="13">
        <f>BM1</f>
        <v/>
      </c>
      <c r="BP1" s="13">
        <f>BM1</f>
        <v/>
      </c>
      <c r="BQ1" s="13">
        <f>BM1</f>
        <v/>
      </c>
      <c r="BR1" s="53" t="n"/>
      <c r="BS1" s="20">
        <f>BS7&amp;"Separate123"&amp;IF(BS53="","XYZ",BS53)&amp;"Separate123"&amp;$D$5&amp;"Separate123"&amp;"Column"&amp;COLUMN()</f>
        <v/>
      </c>
      <c r="BT1" s="13">
        <f>BS1</f>
        <v/>
      </c>
      <c r="BU1" s="13">
        <f>BS1</f>
        <v/>
      </c>
      <c r="BV1" s="13">
        <f>BS1</f>
        <v/>
      </c>
      <c r="BW1" s="13">
        <f>BS1</f>
        <v/>
      </c>
      <c r="BX1" s="53" t="n"/>
      <c r="BY1" s="20">
        <f>BY7&amp;"Separate123"&amp;IF(BY53="","XYZ",BY53)&amp;"Separate123"&amp;$D$5&amp;"Separate123"&amp;"Column"&amp;COLUMN()</f>
        <v/>
      </c>
      <c r="BZ1" s="13">
        <f>BY1</f>
        <v/>
      </c>
      <c r="CA1" s="13">
        <f>BY1</f>
        <v/>
      </c>
      <c r="CB1" s="13">
        <f>BY1</f>
        <v/>
      </c>
      <c r="CC1" s="13">
        <f>BY1</f>
        <v/>
      </c>
      <c r="CD1" s="53" t="n"/>
      <c r="CE1" s="20">
        <f>CE7&amp;"Separate123"&amp;IF(CE53="","XYZ",CE53)&amp;"Separate123"&amp;$D$5&amp;"Separate123"&amp;"Column"&amp;COLUMN()</f>
        <v/>
      </c>
      <c r="CF1" s="13">
        <f>CE1</f>
        <v/>
      </c>
      <c r="CG1" s="13">
        <f>CE1</f>
        <v/>
      </c>
      <c r="CH1" s="13">
        <f>CE1</f>
        <v/>
      </c>
      <c r="CI1" s="13">
        <f>CE1</f>
        <v/>
      </c>
      <c r="CJ1" s="53" t="n"/>
      <c r="CK1" s="20">
        <f>CK7&amp;"Separate123"&amp;IF(CK53="","XYZ",CK53)&amp;"Separate123"&amp;$D$5&amp;"Separate123"&amp;"Column"&amp;COLUMN()</f>
        <v/>
      </c>
      <c r="CL1" s="13">
        <f>CK1</f>
        <v/>
      </c>
      <c r="CM1" s="13">
        <f>CK1</f>
        <v/>
      </c>
      <c r="CN1" s="13">
        <f>CK1</f>
        <v/>
      </c>
      <c r="CO1" s="13">
        <f>CK1</f>
        <v/>
      </c>
      <c r="CP1" s="53" t="n"/>
      <c r="CQ1" s="20">
        <f>CQ7&amp;"Separate123"&amp;IF(CQ53="","XYZ",CQ53)&amp;"Separate123"&amp;$D$5&amp;"Separate123"&amp;"Column"&amp;COLUMN()</f>
        <v/>
      </c>
      <c r="CR1" s="13">
        <f>CQ1</f>
        <v/>
      </c>
      <c r="CS1" s="13">
        <f>CQ1</f>
        <v/>
      </c>
      <c r="CT1" s="13">
        <f>CQ1</f>
        <v/>
      </c>
      <c r="CU1" s="13">
        <f>CQ1</f>
        <v/>
      </c>
      <c r="CV1" s="53" t="n"/>
      <c r="CW1" s="20">
        <f>CW7&amp;"Separate123"&amp;IF(CW53="","XYZ",CW53)&amp;"Separate123"&amp;$D$5&amp;"Separate123"&amp;"Column"&amp;COLUMN()</f>
        <v/>
      </c>
      <c r="CX1" s="13">
        <f>CW1</f>
        <v/>
      </c>
      <c r="CY1" s="13">
        <f>CW1</f>
        <v/>
      </c>
      <c r="CZ1" s="13">
        <f>CW1</f>
        <v/>
      </c>
      <c r="DA1" s="13">
        <f>CW1</f>
        <v/>
      </c>
      <c r="DB1" s="53" t="n"/>
      <c r="DC1" s="20">
        <f>DC7&amp;"Separate123"&amp;IF(DC53="","XYZ",DC53)&amp;"Separate123"&amp;$D$5&amp;"Separate123"&amp;"Column"&amp;COLUMN()</f>
        <v/>
      </c>
      <c r="DD1" s="13">
        <f>DC1</f>
        <v/>
      </c>
      <c r="DE1" s="13">
        <f>DC1</f>
        <v/>
      </c>
      <c r="DF1" s="13">
        <f>DC1</f>
        <v/>
      </c>
      <c r="DG1" s="13">
        <f>DC1</f>
        <v/>
      </c>
      <c r="DH1" s="53" t="n"/>
      <c r="DI1" s="20">
        <f>DI7&amp;"Separate123"&amp;IF(DI53="","XYZ",DI53)&amp;"Separate123"&amp;$D$5&amp;"Separate123"&amp;"Column"&amp;COLUMN()</f>
        <v/>
      </c>
      <c r="DJ1" s="13">
        <f>DI1</f>
        <v/>
      </c>
      <c r="DK1" s="13">
        <f>DI1</f>
        <v/>
      </c>
      <c r="DL1" s="13">
        <f>DI1</f>
        <v/>
      </c>
      <c r="DM1" s="13">
        <f>DI1</f>
        <v/>
      </c>
      <c r="DN1" s="53" t="n"/>
      <c r="DO1" s="20">
        <f>DO7&amp;"Separate123"&amp;IF(DO53="","XYZ",DO53)&amp;"Separate123"&amp;$D$5&amp;"Separate123"&amp;"Column"&amp;COLUMN()</f>
        <v/>
      </c>
      <c r="DP1" s="13">
        <f>DO1</f>
        <v/>
      </c>
      <c r="DQ1" s="13">
        <f>DO1</f>
        <v/>
      </c>
      <c r="DR1" s="13">
        <f>DO1</f>
        <v/>
      </c>
      <c r="DS1" s="13">
        <f>DO1</f>
        <v/>
      </c>
      <c r="DT1" s="53" t="n"/>
      <c r="DU1" s="20">
        <f>DU7&amp;"Separate123"&amp;IF(DU53="","XYZ",DU53)&amp;"Separate123"&amp;$D$5&amp;"Separate123"&amp;"Column"&amp;COLUMN()</f>
        <v/>
      </c>
      <c r="DV1" s="13">
        <f>DU1</f>
        <v/>
      </c>
      <c r="DW1" s="13">
        <f>DU1</f>
        <v/>
      </c>
      <c r="DX1" s="13">
        <f>DU1</f>
        <v/>
      </c>
      <c r="DY1" s="13">
        <f>DU1</f>
        <v/>
      </c>
      <c r="DZ1" s="53" t="n"/>
      <c r="EA1" s="20">
        <f>EA7&amp;"Separate123"&amp;IF(EA53="","XYZ",EA53)&amp;"Separate123"&amp;$D$5&amp;"Separate123"&amp;"Column"&amp;COLUMN()</f>
        <v/>
      </c>
      <c r="EB1" s="13">
        <f>EA1</f>
        <v/>
      </c>
      <c r="EC1" s="13">
        <f>EA1</f>
        <v/>
      </c>
      <c r="ED1" s="13">
        <f>EA1</f>
        <v/>
      </c>
      <c r="EE1" s="13">
        <f>EA1</f>
        <v/>
      </c>
      <c r="EF1" s="53" t="n"/>
      <c r="EG1" s="20">
        <f>EG7&amp;"Separate123"&amp;IF(EG53="","XYZ",EG53)&amp;"Separate123"&amp;$D$5&amp;"Separate123"&amp;"Column"&amp;COLUMN()</f>
        <v/>
      </c>
      <c r="EH1" s="13">
        <f>EG1</f>
        <v/>
      </c>
      <c r="EI1" s="13">
        <f>EG1</f>
        <v/>
      </c>
      <c r="EJ1" s="13">
        <f>EG1</f>
        <v/>
      </c>
      <c r="EK1" s="13">
        <f>EG1</f>
        <v/>
      </c>
      <c r="EL1" s="53" t="n"/>
      <c r="EM1" s="20">
        <f>EM7&amp;"Separate123"&amp;IF(EM53="","XYZ",EM53)&amp;"Separate123"&amp;$D$5&amp;"Separate123"&amp;"Column"&amp;COLUMN()</f>
        <v/>
      </c>
      <c r="EN1" s="13">
        <f>EM1</f>
        <v/>
      </c>
      <c r="EO1" s="13">
        <f>EM1</f>
        <v/>
      </c>
      <c r="EP1" s="13">
        <f>EM1</f>
        <v/>
      </c>
      <c r="EQ1" s="13">
        <f>EM1</f>
        <v/>
      </c>
    </row>
    <row r="2" hidden="1" customFormat="1" s="13">
      <c r="A2" s="13" t="inlineStr">
        <is>
          <t>Summary</t>
        </is>
      </c>
      <c r="B2" s="13" t="inlineStr">
        <is>
          <t>Summary</t>
        </is>
      </c>
      <c r="C2" s="48" t="n">
        <v>51136</v>
      </c>
      <c r="Q2" s="20">
        <f>Q8</f>
        <v/>
      </c>
      <c r="R2" s="13">
        <f>Q2</f>
        <v/>
      </c>
      <c r="S2" s="13">
        <f>Q2</f>
        <v/>
      </c>
      <c r="T2" s="13">
        <f>Q2</f>
        <v/>
      </c>
      <c r="U2" s="13">
        <f>Q2</f>
        <v/>
      </c>
      <c r="V2" s="53" t="n"/>
      <c r="W2" s="13">
        <f>W8</f>
        <v/>
      </c>
      <c r="X2" s="13">
        <f>W2</f>
        <v/>
      </c>
      <c r="Y2" s="13">
        <f>W2</f>
        <v/>
      </c>
      <c r="Z2" s="13">
        <f>W2</f>
        <v/>
      </c>
      <c r="AA2" s="13">
        <f>W2</f>
        <v/>
      </c>
      <c r="AB2" s="53" t="n"/>
      <c r="AC2" s="13">
        <f>AC8</f>
        <v/>
      </c>
      <c r="AD2" s="13">
        <f>AC2</f>
        <v/>
      </c>
      <c r="AE2" s="13">
        <f>AC2</f>
        <v/>
      </c>
      <c r="AF2" s="13">
        <f>AC2</f>
        <v/>
      </c>
      <c r="AG2" s="13">
        <f>AC2</f>
        <v/>
      </c>
      <c r="AH2" s="53" t="n"/>
      <c r="AI2" s="13">
        <f>AI8</f>
        <v/>
      </c>
      <c r="AJ2" s="13">
        <f>AI2</f>
        <v/>
      </c>
      <c r="AK2" s="13">
        <f>AI2</f>
        <v/>
      </c>
      <c r="AL2" s="13">
        <f>AI2</f>
        <v/>
      </c>
      <c r="AM2" s="13">
        <f>AI2</f>
        <v/>
      </c>
      <c r="AN2" s="53" t="n"/>
      <c r="AO2" s="13">
        <f>AO8</f>
        <v/>
      </c>
      <c r="AP2" s="13">
        <f>AO2</f>
        <v/>
      </c>
      <c r="AQ2" s="13">
        <f>AO2</f>
        <v/>
      </c>
      <c r="AR2" s="13">
        <f>AO2</f>
        <v/>
      </c>
      <c r="AS2" s="13">
        <f>AO2</f>
        <v/>
      </c>
      <c r="AT2" s="53" t="n"/>
      <c r="AU2" s="13">
        <f>AU8</f>
        <v/>
      </c>
      <c r="AV2" s="13">
        <f>AU2</f>
        <v/>
      </c>
      <c r="AW2" s="13">
        <f>AU2</f>
        <v/>
      </c>
      <c r="AX2" s="13">
        <f>AU2</f>
        <v/>
      </c>
      <c r="AY2" s="13">
        <f>AU2</f>
        <v/>
      </c>
      <c r="AZ2" s="53" t="n"/>
      <c r="BA2" s="13">
        <f>BA8</f>
        <v/>
      </c>
      <c r="BB2" s="13">
        <f>BA2</f>
        <v/>
      </c>
      <c r="BC2" s="13">
        <f>BA2</f>
        <v/>
      </c>
      <c r="BD2" s="13">
        <f>BA2</f>
        <v/>
      </c>
      <c r="BE2" s="13">
        <f>BA2</f>
        <v/>
      </c>
      <c r="BF2" s="53" t="n"/>
      <c r="BG2" s="13">
        <f>BG8</f>
        <v/>
      </c>
      <c r="BH2" s="13">
        <f>BG2</f>
        <v/>
      </c>
      <c r="BI2" s="13">
        <f>BG2</f>
        <v/>
      </c>
      <c r="BJ2" s="13">
        <f>BG2</f>
        <v/>
      </c>
      <c r="BK2" s="13">
        <f>BG2</f>
        <v/>
      </c>
      <c r="BL2" s="53" t="n"/>
      <c r="BM2" s="13">
        <f>BM8</f>
        <v/>
      </c>
      <c r="BN2" s="13">
        <f>BM2</f>
        <v/>
      </c>
      <c r="BO2" s="13">
        <f>BM2</f>
        <v/>
      </c>
      <c r="BP2" s="13">
        <f>BM2</f>
        <v/>
      </c>
      <c r="BQ2" s="13">
        <f>BM2</f>
        <v/>
      </c>
      <c r="BR2" s="53" t="n"/>
      <c r="BS2" s="13">
        <f>BS8</f>
        <v/>
      </c>
      <c r="BT2" s="13">
        <f>BS2</f>
        <v/>
      </c>
      <c r="BU2" s="13">
        <f>BS2</f>
        <v/>
      </c>
      <c r="BV2" s="13">
        <f>BS2</f>
        <v/>
      </c>
      <c r="BW2" s="13">
        <f>BS2</f>
        <v/>
      </c>
      <c r="BX2" s="53" t="n"/>
      <c r="BY2" s="13">
        <f>BY8</f>
        <v/>
      </c>
      <c r="BZ2" s="13">
        <f>BY2</f>
        <v/>
      </c>
      <c r="CA2" s="13">
        <f>BY2</f>
        <v/>
      </c>
      <c r="CB2" s="13">
        <f>BY2</f>
        <v/>
      </c>
      <c r="CC2" s="13">
        <f>BY2</f>
        <v/>
      </c>
      <c r="CD2" s="53" t="n"/>
      <c r="CE2" s="13">
        <f>CE8</f>
        <v/>
      </c>
      <c r="CF2" s="13">
        <f>CE2</f>
        <v/>
      </c>
      <c r="CG2" s="13">
        <f>CE2</f>
        <v/>
      </c>
      <c r="CH2" s="13">
        <f>CE2</f>
        <v/>
      </c>
      <c r="CI2" s="13">
        <f>CE2</f>
        <v/>
      </c>
      <c r="CJ2" s="53" t="n"/>
      <c r="CK2" s="13">
        <f>CK8</f>
        <v/>
      </c>
      <c r="CL2" s="13">
        <f>CK2</f>
        <v/>
      </c>
      <c r="CM2" s="13">
        <f>CK2</f>
        <v/>
      </c>
      <c r="CN2" s="13">
        <f>CK2</f>
        <v/>
      </c>
      <c r="CO2" s="13">
        <f>CK2</f>
        <v/>
      </c>
      <c r="CP2" s="53" t="n"/>
      <c r="CQ2" s="13">
        <f>CQ8</f>
        <v/>
      </c>
      <c r="CR2" s="13">
        <f>CQ2</f>
        <v/>
      </c>
      <c r="CS2" s="13">
        <f>CQ2</f>
        <v/>
      </c>
      <c r="CT2" s="13">
        <f>CQ2</f>
        <v/>
      </c>
      <c r="CU2" s="13">
        <f>CQ2</f>
        <v/>
      </c>
      <c r="CV2" s="53" t="n"/>
      <c r="CW2" s="13">
        <f>CW8</f>
        <v/>
      </c>
      <c r="CX2" s="13">
        <f>CW2</f>
        <v/>
      </c>
      <c r="CY2" s="13">
        <f>CW2</f>
        <v/>
      </c>
      <c r="CZ2" s="13">
        <f>CW2</f>
        <v/>
      </c>
      <c r="DA2" s="13">
        <f>CW2</f>
        <v/>
      </c>
      <c r="DB2" s="53" t="n"/>
      <c r="DC2" s="13">
        <f>DC8</f>
        <v/>
      </c>
      <c r="DD2" s="13">
        <f>DC2</f>
        <v/>
      </c>
      <c r="DE2" s="13">
        <f>DC2</f>
        <v/>
      </c>
      <c r="DF2" s="13">
        <f>DC2</f>
        <v/>
      </c>
      <c r="DG2" s="13">
        <f>DC2</f>
        <v/>
      </c>
      <c r="DH2" s="53" t="n"/>
      <c r="DI2" s="13">
        <f>DI8</f>
        <v/>
      </c>
      <c r="DJ2" s="13">
        <f>DI2</f>
        <v/>
      </c>
      <c r="DK2" s="13">
        <f>DI2</f>
        <v/>
      </c>
      <c r="DL2" s="13">
        <f>DI2</f>
        <v/>
      </c>
      <c r="DM2" s="13">
        <f>DI2</f>
        <v/>
      </c>
      <c r="DN2" s="53" t="n"/>
      <c r="DO2" s="13">
        <f>DO8</f>
        <v/>
      </c>
      <c r="DP2" s="13">
        <f>DO2</f>
        <v/>
      </c>
      <c r="DQ2" s="13">
        <f>DO2</f>
        <v/>
      </c>
      <c r="DR2" s="13">
        <f>DO2</f>
        <v/>
      </c>
      <c r="DS2" s="13">
        <f>DO2</f>
        <v/>
      </c>
      <c r="DT2" s="53" t="n"/>
      <c r="DU2" s="13">
        <f>DU8</f>
        <v/>
      </c>
      <c r="DV2" s="13">
        <f>DU2</f>
        <v/>
      </c>
      <c r="DW2" s="13">
        <f>DU2</f>
        <v/>
      </c>
      <c r="DX2" s="13">
        <f>DU2</f>
        <v/>
      </c>
      <c r="DY2" s="13">
        <f>DU2</f>
        <v/>
      </c>
      <c r="DZ2" s="53" t="n"/>
      <c r="EA2" s="13">
        <f>EA8</f>
        <v/>
      </c>
      <c r="EB2" s="13">
        <f>EA2</f>
        <v/>
      </c>
      <c r="EC2" s="13">
        <f>EA2</f>
        <v/>
      </c>
      <c r="ED2" s="13">
        <f>EA2</f>
        <v/>
      </c>
      <c r="EE2" s="13">
        <f>EA2</f>
        <v/>
      </c>
      <c r="EF2" s="53" t="n"/>
      <c r="EG2" s="13">
        <f>EG8</f>
        <v/>
      </c>
      <c r="EH2" s="13">
        <f>EG2</f>
        <v/>
      </c>
      <c r="EI2" s="13">
        <f>EG2</f>
        <v/>
      </c>
      <c r="EJ2" s="13">
        <f>EG2</f>
        <v/>
      </c>
      <c r="EK2" s="13">
        <f>EG2</f>
        <v/>
      </c>
      <c r="EL2" s="53" t="n"/>
      <c r="EM2" s="13">
        <f>EM8</f>
        <v/>
      </c>
      <c r="EN2" s="13">
        <f>EM2</f>
        <v/>
      </c>
      <c r="EO2" s="13">
        <f>EM2</f>
        <v/>
      </c>
      <c r="EP2" s="13">
        <f>EM2</f>
        <v/>
      </c>
      <c r="EQ2" s="13">
        <f>EM2</f>
        <v/>
      </c>
    </row>
    <row r="3" hidden="1" customFormat="1" s="13">
      <c r="A3" s="13" t="inlineStr">
        <is>
          <t>Summary</t>
        </is>
      </c>
      <c r="B3" s="13" t="inlineStr">
        <is>
          <t>Summary</t>
        </is>
      </c>
      <c r="Q3" s="20">
        <f>Q10</f>
        <v/>
      </c>
      <c r="R3" s="13">
        <f>Q3</f>
        <v/>
      </c>
      <c r="S3" s="13">
        <f>Q3</f>
        <v/>
      </c>
      <c r="T3" s="13">
        <f>Q3</f>
        <v/>
      </c>
      <c r="U3" s="13">
        <f>Q3</f>
        <v/>
      </c>
      <c r="V3" s="53" t="n"/>
      <c r="W3" s="13">
        <f>W10</f>
        <v/>
      </c>
      <c r="X3" s="13">
        <f>W3</f>
        <v/>
      </c>
      <c r="Y3" s="13">
        <f>W3</f>
        <v/>
      </c>
      <c r="Z3" s="13">
        <f>W3</f>
        <v/>
      </c>
      <c r="AA3" s="13">
        <f>W3</f>
        <v/>
      </c>
      <c r="AB3" s="53" t="n"/>
      <c r="AC3" s="13">
        <f>AC10</f>
        <v/>
      </c>
      <c r="AD3" s="13">
        <f>AC3</f>
        <v/>
      </c>
      <c r="AE3" s="13">
        <f>AC3</f>
        <v/>
      </c>
      <c r="AF3" s="13">
        <f>AC3</f>
        <v/>
      </c>
      <c r="AG3" s="13">
        <f>AC3</f>
        <v/>
      </c>
      <c r="AH3" s="53" t="n"/>
      <c r="AI3" s="13">
        <f>AI10</f>
        <v/>
      </c>
      <c r="AJ3" s="13">
        <f>AI3</f>
        <v/>
      </c>
      <c r="AK3" s="13">
        <f>AI3</f>
        <v/>
      </c>
      <c r="AL3" s="13">
        <f>AI3</f>
        <v/>
      </c>
      <c r="AM3" s="13">
        <f>AI3</f>
        <v/>
      </c>
      <c r="AN3" s="53" t="n"/>
      <c r="AO3" s="13">
        <f>AO10</f>
        <v/>
      </c>
      <c r="AP3" s="13">
        <f>AO3</f>
        <v/>
      </c>
      <c r="AQ3" s="13">
        <f>AO3</f>
        <v/>
      </c>
      <c r="AR3" s="13">
        <f>AO3</f>
        <v/>
      </c>
      <c r="AS3" s="13">
        <f>AO3</f>
        <v/>
      </c>
      <c r="AT3" s="53" t="n"/>
      <c r="AU3" s="13">
        <f>AU10</f>
        <v/>
      </c>
      <c r="AV3" s="13">
        <f>AU3</f>
        <v/>
      </c>
      <c r="AW3" s="13">
        <f>AU3</f>
        <v/>
      </c>
      <c r="AX3" s="13">
        <f>AU3</f>
        <v/>
      </c>
      <c r="AY3" s="13">
        <f>AU3</f>
        <v/>
      </c>
      <c r="AZ3" s="53" t="n"/>
      <c r="BA3" s="13">
        <f>BA10</f>
        <v/>
      </c>
      <c r="BB3" s="13">
        <f>BA3</f>
        <v/>
      </c>
      <c r="BC3" s="13">
        <f>BA3</f>
        <v/>
      </c>
      <c r="BD3" s="13">
        <f>BA3</f>
        <v/>
      </c>
      <c r="BE3" s="13">
        <f>BA3</f>
        <v/>
      </c>
      <c r="BF3" s="53" t="n"/>
      <c r="BG3" s="13">
        <f>BG10</f>
        <v/>
      </c>
      <c r="BH3" s="13">
        <f>BG3</f>
        <v/>
      </c>
      <c r="BI3" s="13">
        <f>BG3</f>
        <v/>
      </c>
      <c r="BJ3" s="13">
        <f>BG3</f>
        <v/>
      </c>
      <c r="BK3" s="13">
        <f>BG3</f>
        <v/>
      </c>
      <c r="BL3" s="53" t="n"/>
      <c r="BM3" s="13">
        <f>BM10</f>
        <v/>
      </c>
      <c r="BN3" s="13">
        <f>BM3</f>
        <v/>
      </c>
      <c r="BO3" s="13">
        <f>BM3</f>
        <v/>
      </c>
      <c r="BP3" s="13">
        <f>BM3</f>
        <v/>
      </c>
      <c r="BQ3" s="13">
        <f>BM3</f>
        <v/>
      </c>
      <c r="BR3" s="53" t="n"/>
      <c r="BS3" s="13">
        <f>BS10</f>
        <v/>
      </c>
      <c r="BT3" s="13">
        <f>BS3</f>
        <v/>
      </c>
      <c r="BU3" s="13">
        <f>BS3</f>
        <v/>
      </c>
      <c r="BV3" s="13">
        <f>BS3</f>
        <v/>
      </c>
      <c r="BW3" s="13">
        <f>BS3</f>
        <v/>
      </c>
      <c r="BX3" s="53" t="n"/>
      <c r="BY3" s="13">
        <f>BY10</f>
        <v/>
      </c>
      <c r="BZ3" s="13">
        <f>BY3</f>
        <v/>
      </c>
      <c r="CA3" s="13">
        <f>BY3</f>
        <v/>
      </c>
      <c r="CB3" s="13">
        <f>BY3</f>
        <v/>
      </c>
      <c r="CC3" s="13">
        <f>BY3</f>
        <v/>
      </c>
      <c r="CD3" s="53" t="n"/>
      <c r="CE3" s="13">
        <f>CE10</f>
        <v/>
      </c>
      <c r="CF3" s="13">
        <f>CE3</f>
        <v/>
      </c>
      <c r="CG3" s="13">
        <f>CE3</f>
        <v/>
      </c>
      <c r="CH3" s="13">
        <f>CE3</f>
        <v/>
      </c>
      <c r="CI3" s="13">
        <f>CE3</f>
        <v/>
      </c>
      <c r="CJ3" s="53" t="n"/>
      <c r="CK3" s="13">
        <f>CK10</f>
        <v/>
      </c>
      <c r="CL3" s="13">
        <f>CK3</f>
        <v/>
      </c>
      <c r="CM3" s="13">
        <f>CK3</f>
        <v/>
      </c>
      <c r="CN3" s="13">
        <f>CK3</f>
        <v/>
      </c>
      <c r="CO3" s="13">
        <f>CK3</f>
        <v/>
      </c>
      <c r="CP3" s="53" t="n"/>
      <c r="CQ3" s="13">
        <f>CQ10</f>
        <v/>
      </c>
      <c r="CR3" s="13">
        <f>CQ3</f>
        <v/>
      </c>
      <c r="CS3" s="13">
        <f>CQ3</f>
        <v/>
      </c>
      <c r="CT3" s="13">
        <f>CQ3</f>
        <v/>
      </c>
      <c r="CU3" s="13">
        <f>CQ3</f>
        <v/>
      </c>
      <c r="CV3" s="53" t="n"/>
      <c r="CW3" s="13">
        <f>CW10</f>
        <v/>
      </c>
      <c r="CX3" s="13">
        <f>CW3</f>
        <v/>
      </c>
      <c r="CY3" s="13">
        <f>CW3</f>
        <v/>
      </c>
      <c r="CZ3" s="13">
        <f>CW3</f>
        <v/>
      </c>
      <c r="DA3" s="13">
        <f>CW3</f>
        <v/>
      </c>
      <c r="DB3" s="53" t="n"/>
      <c r="DC3" s="13">
        <f>DC10</f>
        <v/>
      </c>
      <c r="DD3" s="13">
        <f>DC3</f>
        <v/>
      </c>
      <c r="DE3" s="13">
        <f>DC3</f>
        <v/>
      </c>
      <c r="DF3" s="13">
        <f>DC3</f>
        <v/>
      </c>
      <c r="DG3" s="13">
        <f>DC3</f>
        <v/>
      </c>
      <c r="DH3" s="53" t="n"/>
      <c r="DI3" s="13">
        <f>DI10</f>
        <v/>
      </c>
      <c r="DJ3" s="13">
        <f>DI3</f>
        <v/>
      </c>
      <c r="DK3" s="13">
        <f>DI3</f>
        <v/>
      </c>
      <c r="DL3" s="13">
        <f>DI3</f>
        <v/>
      </c>
      <c r="DM3" s="13">
        <f>DI3</f>
        <v/>
      </c>
      <c r="DN3" s="53" t="n"/>
      <c r="DO3" s="13">
        <f>DO10</f>
        <v/>
      </c>
      <c r="DP3" s="13">
        <f>DO3</f>
        <v/>
      </c>
      <c r="DQ3" s="13">
        <f>DO3</f>
        <v/>
      </c>
      <c r="DR3" s="13">
        <f>DO3</f>
        <v/>
      </c>
      <c r="DS3" s="13">
        <f>DO3</f>
        <v/>
      </c>
      <c r="DT3" s="53" t="n"/>
      <c r="DU3" s="13">
        <f>DU10</f>
        <v/>
      </c>
      <c r="DV3" s="13">
        <f>DU3</f>
        <v/>
      </c>
      <c r="DW3" s="13">
        <f>DU3</f>
        <v/>
      </c>
      <c r="DX3" s="13">
        <f>DU3</f>
        <v/>
      </c>
      <c r="DY3" s="13">
        <f>DU3</f>
        <v/>
      </c>
      <c r="DZ3" s="53" t="n"/>
      <c r="EA3" s="13">
        <f>EA10</f>
        <v/>
      </c>
      <c r="EB3" s="13">
        <f>EA3</f>
        <v/>
      </c>
      <c r="EC3" s="13">
        <f>EA3</f>
        <v/>
      </c>
      <c r="ED3" s="13">
        <f>EA3</f>
        <v/>
      </c>
      <c r="EE3" s="13">
        <f>EA3</f>
        <v/>
      </c>
      <c r="EF3" s="53" t="n"/>
      <c r="EG3" s="13">
        <f>EG10</f>
        <v/>
      </c>
      <c r="EH3" s="13">
        <f>EG3</f>
        <v/>
      </c>
      <c r="EI3" s="13">
        <f>EG3</f>
        <v/>
      </c>
      <c r="EJ3" s="13">
        <f>EG3</f>
        <v/>
      </c>
      <c r="EK3" s="13">
        <f>EG3</f>
        <v/>
      </c>
      <c r="EL3" s="53" t="n"/>
      <c r="EM3" s="13">
        <f>EM10</f>
        <v/>
      </c>
      <c r="EN3" s="13">
        <f>EM3</f>
        <v/>
      </c>
      <c r="EO3" s="13">
        <f>EM3</f>
        <v/>
      </c>
      <c r="EP3" s="13">
        <f>EM3</f>
        <v/>
      </c>
      <c r="EQ3" s="13">
        <f>EM3</f>
        <v/>
      </c>
    </row>
    <row r="4" hidden="1" customFormat="1" s="15">
      <c r="A4" s="14" t="inlineStr">
        <is>
          <t>Blank</t>
        </is>
      </c>
      <c r="B4" s="15" t="inlineStr">
        <is>
          <t>Blank</t>
        </is>
      </c>
      <c r="K4" s="21" t="n"/>
      <c r="L4" s="21" t="n"/>
      <c r="M4" s="21" t="n"/>
      <c r="N4" s="21" t="n"/>
      <c r="O4" s="21" t="n"/>
      <c r="P4" s="21" t="n"/>
      <c r="Q4" s="22" t="n"/>
      <c r="R4" s="21" t="n"/>
      <c r="S4" s="21" t="n"/>
      <c r="T4" s="21" t="n"/>
      <c r="V4" s="54" t="n"/>
      <c r="W4" s="21" t="n"/>
      <c r="X4" s="21" t="n"/>
      <c r="Y4" s="21" t="n"/>
      <c r="Z4" s="21" t="n"/>
      <c r="AB4" s="54" t="n"/>
      <c r="AC4" s="21" t="n"/>
      <c r="AD4" s="21" t="n"/>
      <c r="AE4" s="21" t="n"/>
      <c r="AF4" s="21" t="n"/>
      <c r="AH4" s="54" t="n"/>
      <c r="AI4" s="21" t="n"/>
      <c r="AJ4" s="21" t="n"/>
      <c r="AK4" s="21" t="n"/>
      <c r="AL4" s="21" t="n"/>
      <c r="AN4" s="54" t="n"/>
      <c r="AO4" s="21" t="n"/>
      <c r="AP4" s="21" t="n"/>
      <c r="AQ4" s="21" t="n"/>
      <c r="AR4" s="21" t="n"/>
      <c r="AT4" s="54" t="n"/>
      <c r="AU4" s="21" t="n"/>
      <c r="AV4" s="21" t="n"/>
      <c r="AW4" s="21" t="n"/>
      <c r="AX4" s="21" t="n"/>
      <c r="AZ4" s="54" t="n"/>
      <c r="BA4" s="21" t="n"/>
      <c r="BB4" s="21" t="n"/>
      <c r="BC4" s="21" t="n"/>
      <c r="BD4" s="21" t="n"/>
      <c r="BF4" s="54" t="n"/>
      <c r="BG4" s="21" t="n"/>
      <c r="BH4" s="21" t="n"/>
      <c r="BI4" s="21" t="n"/>
      <c r="BJ4" s="21" t="n"/>
      <c r="BL4" s="54" t="n"/>
      <c r="BM4" s="21" t="n"/>
      <c r="BN4" s="21" t="n"/>
      <c r="BO4" s="21" t="n"/>
      <c r="BP4" s="21" t="n"/>
      <c r="BR4" s="54" t="n"/>
      <c r="BS4" s="21" t="n"/>
      <c r="BT4" s="21" t="n"/>
      <c r="BU4" s="21" t="n"/>
      <c r="BV4" s="21" t="n"/>
      <c r="BX4" s="54" t="n"/>
      <c r="BY4" s="21" t="n"/>
      <c r="BZ4" s="21" t="n"/>
      <c r="CA4" s="21" t="n"/>
      <c r="CB4" s="21" t="n"/>
      <c r="CD4" s="54" t="n"/>
      <c r="CE4" s="21" t="n"/>
      <c r="CF4" s="21" t="n"/>
      <c r="CG4" s="21" t="n"/>
      <c r="CH4" s="21" t="n"/>
      <c r="CJ4" s="54" t="n"/>
      <c r="CK4" s="21" t="n"/>
      <c r="CL4" s="21" t="n"/>
      <c r="CM4" s="21" t="n"/>
      <c r="CN4" s="21" t="n"/>
      <c r="CP4" s="54" t="n"/>
      <c r="CQ4" s="21" t="n"/>
      <c r="CR4" s="21" t="n"/>
      <c r="CS4" s="21" t="n"/>
      <c r="CT4" s="21" t="n"/>
      <c r="CV4" s="54" t="n"/>
      <c r="CW4" s="21" t="n"/>
      <c r="CX4" s="21" t="n"/>
      <c r="CY4" s="21" t="n"/>
      <c r="CZ4" s="21" t="n"/>
      <c r="DB4" s="54" t="n"/>
      <c r="DC4" s="21" t="n"/>
      <c r="DD4" s="21" t="n"/>
      <c r="DE4" s="21" t="n"/>
      <c r="DF4" s="21" t="n"/>
      <c r="DH4" s="54" t="n"/>
      <c r="DI4" s="21" t="n"/>
      <c r="DJ4" s="21" t="n"/>
      <c r="DK4" s="21" t="n"/>
      <c r="DL4" s="21" t="n"/>
      <c r="DN4" s="54" t="n"/>
      <c r="DO4" s="21" t="n"/>
      <c r="DP4" s="21" t="n"/>
      <c r="DQ4" s="21" t="n"/>
      <c r="DR4" s="21" t="n"/>
      <c r="DT4" s="54" t="n"/>
      <c r="DU4" s="21" t="n"/>
      <c r="DV4" s="21" t="n"/>
      <c r="DW4" s="21" t="n"/>
      <c r="DX4" s="21" t="n"/>
      <c r="DZ4" s="54" t="n"/>
      <c r="EA4" s="21" t="n"/>
      <c r="EB4" s="21" t="n"/>
      <c r="EC4" s="21" t="n"/>
      <c r="ED4" s="21" t="n"/>
      <c r="EF4" s="54" t="n"/>
      <c r="EG4" s="21" t="n"/>
      <c r="EH4" s="21" t="n"/>
      <c r="EI4" s="21" t="n"/>
      <c r="EJ4" s="21" t="n"/>
      <c r="EL4" s="54" t="n"/>
      <c r="EM4" s="21" t="n"/>
      <c r="EN4" s="21" t="n"/>
      <c r="EO4" s="21" t="n"/>
      <c r="EP4" s="21" t="n"/>
    </row>
    <row r="5" ht="22" customFormat="1" customHeight="1" s="17">
      <c r="A5" s="16" t="inlineStr">
        <is>
          <t>Blank</t>
        </is>
      </c>
      <c r="B5" s="17" t="inlineStr">
        <is>
          <t>Blank</t>
        </is>
      </c>
      <c r="C5" s="78" t="inlineStr">
        <is>
          <t>CF INDUSTRIES TIMESHEET</t>
        </is>
      </c>
      <c r="D5" s="79" t="inlineStr">
        <is>
          <t>Ver. 1.7.1</t>
        </is>
      </c>
      <c r="H5" s="80" t="inlineStr">
        <is>
          <t>POPULATE YELLOW HIGHLIGHTED CELLS</t>
        </is>
      </c>
      <c r="K5" s="29" t="n"/>
      <c r="L5" s="29" t="n"/>
      <c r="M5" s="30" t="n"/>
      <c r="N5" s="30" t="n"/>
      <c r="O5" s="30" t="n"/>
      <c r="P5" s="30" t="n"/>
      <c r="Q5" s="31" t="n"/>
      <c r="R5" s="32" t="n"/>
      <c r="S5" s="32" t="n"/>
      <c r="T5" s="32" t="n"/>
      <c r="V5" s="55" t="n"/>
      <c r="W5" s="32" t="n"/>
      <c r="X5" s="32" t="n"/>
      <c r="Y5" s="32" t="n"/>
      <c r="Z5" s="32" t="n"/>
      <c r="AB5" s="55" t="n"/>
      <c r="AC5" s="32" t="n"/>
      <c r="AD5" s="32" t="n"/>
      <c r="AE5" s="32" t="n"/>
      <c r="AF5" s="32" t="n"/>
      <c r="AH5" s="55" t="n"/>
      <c r="AI5" s="32" t="n"/>
      <c r="AJ5" s="32" t="n"/>
      <c r="AK5" s="32" t="n"/>
      <c r="AL5" s="32" t="n"/>
      <c r="AN5" s="55" t="n"/>
      <c r="AO5" s="32" t="n"/>
      <c r="AP5" s="32" t="n"/>
      <c r="AQ5" s="32" t="n"/>
      <c r="AR5" s="32" t="n"/>
      <c r="AT5" s="55" t="n"/>
      <c r="AU5" s="32" t="n"/>
      <c r="AV5" s="32" t="n"/>
      <c r="AW5" s="32" t="n"/>
      <c r="AX5" s="32" t="n"/>
      <c r="AZ5" s="55" t="n"/>
      <c r="BA5" s="32" t="n"/>
      <c r="BB5" s="32" t="n"/>
      <c r="BC5" s="32" t="n"/>
      <c r="BD5" s="32" t="n"/>
      <c r="BF5" s="55" t="n"/>
      <c r="BG5" s="32" t="n"/>
      <c r="BH5" s="32" t="n"/>
      <c r="BI5" s="32" t="n"/>
      <c r="BJ5" s="32" t="n"/>
      <c r="BL5" s="55" t="n"/>
      <c r="BM5" s="32" t="n"/>
      <c r="BN5" s="32" t="n"/>
      <c r="BO5" s="32" t="n"/>
      <c r="BP5" s="32" t="n"/>
      <c r="BR5" s="55" t="n"/>
      <c r="BS5" s="32" t="n"/>
      <c r="BT5" s="32" t="n"/>
      <c r="BU5" s="32" t="n"/>
      <c r="BV5" s="32" t="n"/>
      <c r="BX5" s="55" t="n"/>
      <c r="BY5" s="32" t="n"/>
      <c r="BZ5" s="32" t="n"/>
      <c r="CA5" s="32" t="n"/>
      <c r="CB5" s="32" t="n"/>
      <c r="CD5" s="55" t="n"/>
      <c r="CE5" s="32" t="n"/>
      <c r="CF5" s="32" t="n"/>
      <c r="CG5" s="32" t="n"/>
      <c r="CH5" s="32" t="n"/>
      <c r="CJ5" s="55" t="n"/>
      <c r="CK5" s="32" t="n"/>
      <c r="CL5" s="32" t="n"/>
      <c r="CM5" s="32" t="n"/>
      <c r="CN5" s="32" t="n"/>
      <c r="CP5" s="55" t="n"/>
      <c r="CQ5" s="32" t="n"/>
      <c r="CR5" s="32" t="n"/>
      <c r="CS5" s="32" t="n"/>
      <c r="CT5" s="32" t="n"/>
      <c r="CV5" s="55" t="n"/>
      <c r="CW5" s="32" t="n"/>
      <c r="CX5" s="32" t="n"/>
      <c r="CY5" s="32" t="n"/>
      <c r="CZ5" s="32" t="n"/>
      <c r="DB5" s="55" t="n"/>
      <c r="DC5" s="32" t="n"/>
      <c r="DD5" s="32" t="n"/>
      <c r="DE5" s="32" t="n"/>
      <c r="DF5" s="32" t="n"/>
      <c r="DH5" s="55" t="n"/>
      <c r="DI5" s="32" t="n"/>
      <c r="DJ5" s="32" t="n"/>
      <c r="DK5" s="32" t="n"/>
      <c r="DL5" s="32" t="n"/>
      <c r="DN5" s="55" t="n"/>
      <c r="DO5" s="32" t="n"/>
      <c r="DP5" s="32" t="n"/>
      <c r="DQ5" s="32" t="n"/>
      <c r="DR5" s="32" t="n"/>
      <c r="DT5" s="55" t="n"/>
      <c r="DU5" s="32" t="n"/>
      <c r="DV5" s="32" t="n"/>
      <c r="DW5" s="32" t="n"/>
      <c r="DX5" s="32" t="n"/>
      <c r="DZ5" s="55" t="n"/>
      <c r="EA5" s="32" t="n"/>
      <c r="EB5" s="32" t="n"/>
      <c r="EC5" s="32" t="n"/>
      <c r="ED5" s="32" t="n"/>
      <c r="EF5" s="55" t="n"/>
      <c r="EG5" s="32" t="n"/>
      <c r="EH5" s="32" t="n"/>
      <c r="EI5" s="32" t="n"/>
      <c r="EJ5" s="32" t="n"/>
      <c r="EL5" s="55" t="n"/>
      <c r="EM5" s="32" t="n"/>
      <c r="EN5" s="32" t="n"/>
      <c r="EO5" s="32" t="n"/>
      <c r="EP5" s="32" t="n"/>
    </row>
    <row r="6" ht="16.2" customFormat="1" customHeight="1" s="15" thickBot="1">
      <c r="A6" s="16" t="inlineStr">
        <is>
          <t>Blank</t>
        </is>
      </c>
      <c r="B6" s="16" t="inlineStr">
        <is>
          <t>Blank</t>
        </is>
      </c>
      <c r="C6" s="81" t="inlineStr">
        <is>
          <t>Date</t>
        </is>
      </c>
      <c r="D6" s="81" t="inlineStr">
        <is>
          <t>Shift</t>
        </is>
      </c>
      <c r="E6" s="23" t="n"/>
      <c r="F6" s="23" t="n"/>
      <c r="G6" s="23" t="n"/>
      <c r="K6" s="21" t="n"/>
      <c r="L6" s="21" t="n"/>
      <c r="M6" s="21" t="n"/>
      <c r="N6" s="21" t="n"/>
      <c r="O6" s="21" t="n"/>
      <c r="P6" s="21" t="n"/>
      <c r="Q6" s="33" t="n"/>
      <c r="R6" s="21" t="n"/>
      <c r="S6" s="21" t="n"/>
      <c r="T6" s="21" t="n"/>
      <c r="V6" s="54" t="n"/>
      <c r="W6" s="21" t="n"/>
      <c r="X6" s="21" t="n"/>
      <c r="Y6" s="21" t="n"/>
      <c r="Z6" s="21" t="n"/>
      <c r="AB6" s="54" t="n"/>
      <c r="AC6" s="21" t="n"/>
      <c r="AD6" s="21" t="n"/>
      <c r="AE6" s="21" t="n"/>
      <c r="AF6" s="21" t="n"/>
      <c r="AH6" s="54" t="n"/>
      <c r="AI6" s="21" t="n"/>
      <c r="AJ6" s="21" t="n"/>
      <c r="AK6" s="21" t="n"/>
      <c r="AL6" s="21" t="n"/>
      <c r="AN6" s="54" t="n"/>
      <c r="AO6" s="21" t="n"/>
      <c r="AP6" s="21" t="n"/>
      <c r="AQ6" s="21" t="n"/>
      <c r="AR6" s="21" t="n"/>
      <c r="AT6" s="54" t="n"/>
      <c r="AU6" s="21" t="n"/>
      <c r="AV6" s="21" t="n"/>
      <c r="AW6" s="21" t="n"/>
      <c r="AX6" s="21" t="n"/>
      <c r="AZ6" s="54" t="n"/>
      <c r="BA6" s="21" t="n"/>
      <c r="BB6" s="21" t="n"/>
      <c r="BC6" s="21" t="n"/>
      <c r="BD6" s="21" t="n"/>
      <c r="BF6" s="54" t="n"/>
      <c r="BG6" s="21" t="n"/>
      <c r="BH6" s="21" t="n"/>
      <c r="BI6" s="21" t="n"/>
      <c r="BJ6" s="21" t="n"/>
      <c r="BL6" s="54" t="n"/>
      <c r="BM6" s="21" t="n"/>
      <c r="BN6" s="21" t="n"/>
      <c r="BO6" s="21" t="n"/>
      <c r="BP6" s="21" t="n"/>
      <c r="BR6" s="54" t="n"/>
      <c r="BS6" s="21" t="n"/>
      <c r="BT6" s="21" t="n"/>
      <c r="BU6" s="21" t="n"/>
      <c r="BV6" s="21" t="n"/>
      <c r="BX6" s="54" t="n"/>
      <c r="BY6" s="21" t="n"/>
      <c r="BZ6" s="21" t="n"/>
      <c r="CA6" s="21" t="n"/>
      <c r="CB6" s="21" t="n"/>
      <c r="CD6" s="54" t="n"/>
      <c r="CE6" s="21" t="n"/>
      <c r="CF6" s="21" t="n"/>
      <c r="CG6" s="21" t="n"/>
      <c r="CH6" s="21" t="n"/>
      <c r="CJ6" s="54" t="n"/>
      <c r="CK6" s="21" t="n"/>
      <c r="CL6" s="21" t="n"/>
      <c r="CM6" s="21" t="n"/>
      <c r="CN6" s="21" t="n"/>
      <c r="CP6" s="54" t="n"/>
      <c r="CQ6" s="21" t="n"/>
      <c r="CR6" s="21" t="n"/>
      <c r="CS6" s="21" t="n"/>
      <c r="CT6" s="21" t="n"/>
      <c r="CV6" s="54" t="n"/>
      <c r="CW6" s="21" t="n"/>
      <c r="CX6" s="21" t="n"/>
      <c r="CY6" s="21" t="n"/>
      <c r="CZ6" s="21" t="n"/>
      <c r="DB6" s="54" t="n"/>
      <c r="DC6" s="21" t="n"/>
      <c r="DD6" s="21" t="n"/>
      <c r="DE6" s="21" t="n"/>
      <c r="DF6" s="21" t="n"/>
      <c r="DH6" s="54" t="n"/>
      <c r="DI6" s="21" t="n"/>
      <c r="DJ6" s="21" t="n"/>
      <c r="DK6" s="21" t="n"/>
      <c r="DL6" s="21" t="n"/>
      <c r="DN6" s="54" t="n"/>
      <c r="DO6" s="21" t="n"/>
      <c r="DP6" s="21" t="n"/>
      <c r="DQ6" s="21" t="n"/>
      <c r="DR6" s="21" t="n"/>
      <c r="DT6" s="54" t="n"/>
      <c r="DU6" s="21" t="n"/>
      <c r="DV6" s="21" t="n"/>
      <c r="DW6" s="21" t="n"/>
      <c r="DX6" s="21" t="n"/>
      <c r="DZ6" s="54" t="n"/>
      <c r="EA6" s="21" t="n"/>
      <c r="EB6" s="21" t="n"/>
      <c r="EC6" s="21" t="n"/>
      <c r="ED6" s="21" t="n"/>
      <c r="EF6" s="54" t="n"/>
      <c r="EG6" s="21" t="n"/>
      <c r="EH6" s="21" t="n"/>
      <c r="EI6" s="21" t="n"/>
      <c r="EJ6" s="21" t="n"/>
      <c r="EL6" s="54" t="n"/>
      <c r="EM6" s="21" t="n"/>
      <c r="EN6" s="21" t="n"/>
      <c r="EO6" s="21" t="n"/>
      <c r="EP6" s="21" t="n"/>
    </row>
    <row r="7" ht="15" customFormat="1" customHeight="1" s="15" thickBot="1">
      <c r="A7" s="16" t="inlineStr">
        <is>
          <t>Blank</t>
        </is>
      </c>
      <c r="B7" s="16" t="inlineStr">
        <is>
          <t>Blank</t>
        </is>
      </c>
      <c r="C7" s="9" t="n">
        <v>46223</v>
      </c>
      <c r="D7" s="9" t="inlineStr">
        <is>
          <t>Day</t>
        </is>
      </c>
      <c r="H7" s="82" t="inlineStr">
        <is>
          <t>Client</t>
        </is>
      </c>
      <c r="I7" s="62" t="n"/>
      <c r="J7" s="35" t="n"/>
      <c r="K7" s="35" t="n"/>
      <c r="L7" s="35" t="n"/>
      <c r="M7" s="36" t="n"/>
      <c r="N7" s="36" t="n"/>
      <c r="O7" s="36" t="n"/>
      <c r="P7" s="36" t="n"/>
      <c r="Q7" s="7" t="inlineStr">
        <is>
          <t>CF Industries</t>
        </is>
      </c>
      <c r="R7" s="13" t="n"/>
      <c r="S7" s="13" t="n"/>
      <c r="T7" s="13" t="n"/>
      <c r="U7" s="13" t="n"/>
      <c r="V7" s="53" t="n"/>
      <c r="W7" s="7" t="inlineStr">
        <is>
          <t>CF Industries</t>
        </is>
      </c>
      <c r="X7" s="13" t="n"/>
      <c r="Y7" s="13" t="n"/>
      <c r="Z7" s="13" t="n"/>
      <c r="AA7" s="13" t="n"/>
      <c r="AB7" s="53" t="n"/>
      <c r="AC7" s="7" t="n"/>
      <c r="AD7" s="13" t="n"/>
      <c r="AE7" s="13" t="n"/>
      <c r="AF7" s="13" t="n"/>
      <c r="AG7" s="13" t="n"/>
      <c r="AH7" s="53" t="n"/>
      <c r="AI7" s="7" t="n"/>
      <c r="AJ7" s="13" t="n"/>
      <c r="AK7" s="13" t="n"/>
      <c r="AL7" s="13" t="n"/>
      <c r="AM7" s="13" t="n"/>
      <c r="AN7" s="53" t="n"/>
      <c r="AO7" s="7" t="n"/>
      <c r="AP7" s="13" t="n"/>
      <c r="AQ7" s="13" t="n"/>
      <c r="AR7" s="13" t="n"/>
      <c r="AS7" s="13" t="n"/>
      <c r="AT7" s="53" t="n"/>
      <c r="AU7" s="7" t="n"/>
      <c r="AV7" s="13" t="n"/>
      <c r="AW7" s="13" t="n"/>
      <c r="AX7" s="13" t="n"/>
      <c r="AY7" s="13" t="n"/>
      <c r="AZ7" s="53" t="n"/>
      <c r="BA7" s="7" t="n"/>
      <c r="BB7" s="13" t="n"/>
      <c r="BC7" s="13" t="n"/>
      <c r="BD7" s="13" t="n"/>
      <c r="BE7" s="13" t="n"/>
      <c r="BF7" s="53" t="n"/>
      <c r="BG7" s="7" t="n"/>
      <c r="BH7" s="13" t="n"/>
      <c r="BI7" s="13" t="n"/>
      <c r="BJ7" s="13" t="n"/>
      <c r="BK7" s="13" t="n"/>
      <c r="BL7" s="53" t="n"/>
      <c r="BM7" s="7" t="n"/>
      <c r="BN7" s="13" t="n"/>
      <c r="BO7" s="13" t="n"/>
      <c r="BP7" s="13" t="n"/>
      <c r="BQ7" s="13" t="n"/>
      <c r="BR7" s="53" t="n"/>
      <c r="BS7" s="7" t="inlineStr">
        <is>
          <t>CF Industries</t>
        </is>
      </c>
      <c r="BT7" s="13" t="n"/>
      <c r="BU7" s="13" t="n"/>
      <c r="BV7" s="13" t="n"/>
      <c r="BW7" s="13" t="n"/>
      <c r="BX7" s="53" t="n"/>
      <c r="BY7" s="7" t="n"/>
      <c r="BZ7" s="13" t="n"/>
      <c r="CA7" s="13" t="n"/>
      <c r="CB7" s="13" t="n"/>
      <c r="CC7" s="13" t="n"/>
      <c r="CD7" s="53" t="n"/>
      <c r="CE7" s="7" t="n"/>
      <c r="CF7" s="13" t="n"/>
      <c r="CG7" s="13" t="n"/>
      <c r="CH7" s="13" t="n"/>
      <c r="CI7" s="13" t="n"/>
      <c r="CJ7" s="53" t="n"/>
      <c r="CK7" s="7" t="n"/>
      <c r="CL7" s="13" t="n"/>
      <c r="CM7" s="13" t="n"/>
      <c r="CN7" s="13" t="n"/>
      <c r="CO7" s="13" t="n"/>
      <c r="CP7" s="53" t="n"/>
      <c r="CQ7" s="7" t="n"/>
      <c r="CR7" s="13" t="n"/>
      <c r="CS7" s="13" t="n"/>
      <c r="CT7" s="13" t="n"/>
      <c r="CU7" s="13" t="n"/>
      <c r="CV7" s="53" t="n"/>
      <c r="CW7" s="7" t="n"/>
      <c r="CX7" s="13" t="n"/>
      <c r="CY7" s="13" t="n"/>
      <c r="CZ7" s="13" t="n"/>
      <c r="DA7" s="13" t="n"/>
      <c r="DB7" s="53" t="n"/>
      <c r="DC7" s="7" t="n"/>
      <c r="DD7" s="13" t="n"/>
      <c r="DE7" s="13" t="n"/>
      <c r="DF7" s="13" t="n"/>
      <c r="DG7" s="13" t="n"/>
      <c r="DH7" s="53" t="n"/>
      <c r="DI7" s="7" t="n"/>
      <c r="DJ7" s="13" t="n"/>
      <c r="DK7" s="13" t="n"/>
      <c r="DL7" s="13" t="n"/>
      <c r="DM7" s="13" t="n"/>
      <c r="DN7" s="53" t="n"/>
      <c r="DO7" s="7" t="n"/>
      <c r="DP7" s="13" t="n"/>
      <c r="DQ7" s="13" t="n"/>
      <c r="DR7" s="13" t="n"/>
      <c r="DS7" s="13" t="n"/>
      <c r="DT7" s="53" t="n"/>
      <c r="DU7" s="7" t="n"/>
      <c r="DV7" s="13" t="n"/>
      <c r="DW7" s="13" t="n"/>
      <c r="DX7" s="13" t="n"/>
      <c r="DY7" s="13" t="n"/>
      <c r="DZ7" s="53" t="n"/>
      <c r="EA7" s="7" t="n"/>
      <c r="EB7" s="13" t="n"/>
      <c r="EC7" s="13" t="n"/>
      <c r="ED7" s="13" t="n"/>
      <c r="EE7" s="13" t="n"/>
      <c r="EF7" s="53" t="n"/>
      <c r="EG7" s="7" t="n"/>
      <c r="EH7" s="13" t="n"/>
      <c r="EI7" s="13" t="n"/>
      <c r="EJ7" s="13" t="n"/>
      <c r="EK7" s="13" t="n"/>
      <c r="EL7" s="53" t="n"/>
      <c r="EM7" s="7" t="n"/>
      <c r="EN7" s="13" t="n"/>
      <c r="EO7" s="13" t="n"/>
      <c r="EP7" s="13" t="n"/>
      <c r="EQ7" s="13" t="n"/>
    </row>
    <row r="8" ht="15" customFormat="1" customHeight="1" s="15" thickBot="1">
      <c r="A8" s="16" t="inlineStr">
        <is>
          <t>Blank</t>
        </is>
      </c>
      <c r="B8" s="16" t="inlineStr">
        <is>
          <t>Blank</t>
        </is>
      </c>
      <c r="C8" s="21">
        <f>IF(C7="","",TEXT(C7,"dddd"))</f>
        <v/>
      </c>
      <c r="H8" s="82" t="inlineStr">
        <is>
          <t>Job Number</t>
        </is>
      </c>
      <c r="I8" s="62" t="n"/>
      <c r="J8" s="35" t="n"/>
      <c r="K8" s="35" t="n"/>
      <c r="L8" s="35" t="n"/>
      <c r="M8" s="36" t="n"/>
      <c r="N8" s="36" t="n"/>
      <c r="O8" s="36" t="n"/>
      <c r="P8" s="36" t="n"/>
      <c r="Q8" s="8" t="inlineStr">
        <is>
          <t>00-23-017</t>
        </is>
      </c>
      <c r="R8" s="13" t="n"/>
      <c r="S8" s="13" t="n"/>
      <c r="T8" s="13" t="n"/>
      <c r="U8" s="13" t="n"/>
      <c r="V8" s="53" t="n"/>
      <c r="W8" s="7" t="inlineStr">
        <is>
          <t>01-26-037</t>
        </is>
      </c>
      <c r="X8" s="13" t="n"/>
      <c r="Y8" s="13" t="n"/>
      <c r="Z8" s="13" t="n"/>
      <c r="AA8" s="13" t="n"/>
      <c r="AB8" s="53" t="n"/>
      <c r="AC8" s="7" t="n"/>
      <c r="AD8" s="13" t="n"/>
      <c r="AE8" s="13" t="n"/>
      <c r="AF8" s="13" t="n"/>
      <c r="AG8" s="13" t="n"/>
      <c r="AH8" s="53" t="n"/>
      <c r="AI8" s="7" t="n"/>
      <c r="AJ8" s="13" t="n"/>
      <c r="AK8" s="13" t="n"/>
      <c r="AL8" s="13" t="n"/>
      <c r="AM8" s="13" t="n"/>
      <c r="AN8" s="53" t="n"/>
      <c r="AO8" s="7" t="n"/>
      <c r="AP8" s="13" t="n"/>
      <c r="AQ8" s="13" t="n"/>
      <c r="AR8" s="13" t="n"/>
      <c r="AS8" s="13" t="n"/>
      <c r="AT8" s="53" t="n"/>
      <c r="AU8" s="7" t="n"/>
      <c r="AV8" s="13" t="n"/>
      <c r="AW8" s="13" t="n"/>
      <c r="AX8" s="13" t="n"/>
      <c r="AY8" s="13" t="n"/>
      <c r="AZ8" s="53" t="n"/>
      <c r="BA8" s="7" t="n"/>
      <c r="BB8" s="13" t="n"/>
      <c r="BC8" s="13" t="n"/>
      <c r="BD8" s="13" t="n"/>
      <c r="BE8" s="13" t="n"/>
      <c r="BF8" s="53" t="n"/>
      <c r="BG8" s="7" t="n"/>
      <c r="BH8" s="13" t="n"/>
      <c r="BI8" s="13" t="n"/>
      <c r="BJ8" s="13" t="n"/>
      <c r="BK8" s="13" t="n"/>
      <c r="BL8" s="53" t="n"/>
      <c r="BM8" s="7" t="n"/>
      <c r="BN8" s="13" t="n"/>
      <c r="BO8" s="13" t="n"/>
      <c r="BP8" s="13" t="n"/>
      <c r="BQ8" s="13" t="n"/>
      <c r="BR8" s="53" t="n"/>
      <c r="BS8" s="52" t="inlineStr">
        <is>
          <t>01-23-5017</t>
        </is>
      </c>
      <c r="BT8" s="75" t="n"/>
      <c r="BU8" s="13" t="n"/>
      <c r="BV8" s="13" t="n"/>
      <c r="BW8" s="13" t="n"/>
      <c r="BX8" s="53" t="n"/>
      <c r="BY8" s="7" t="n"/>
      <c r="BZ8" s="13" t="n"/>
      <c r="CA8" s="13" t="n"/>
      <c r="CB8" s="13" t="n"/>
      <c r="CC8" s="13" t="n"/>
      <c r="CD8" s="53" t="n"/>
      <c r="CE8" s="7" t="n"/>
      <c r="CF8" s="13" t="n"/>
      <c r="CG8" s="13" t="n"/>
      <c r="CH8" s="13" t="n"/>
      <c r="CI8" s="13" t="n"/>
      <c r="CJ8" s="53" t="n"/>
      <c r="CK8" s="7" t="n"/>
      <c r="CL8" s="13" t="n"/>
      <c r="CM8" s="13" t="n"/>
      <c r="CN8" s="13" t="n"/>
      <c r="CO8" s="13" t="n"/>
      <c r="CP8" s="53" t="n"/>
      <c r="CQ8" s="7" t="n"/>
      <c r="CR8" s="13" t="n"/>
      <c r="CS8" s="13" t="n"/>
      <c r="CT8" s="13" t="n"/>
      <c r="CU8" s="13" t="n"/>
      <c r="CV8" s="53" t="n"/>
      <c r="CW8" s="7" t="n"/>
      <c r="CX8" s="13" t="n"/>
      <c r="CY8" s="13" t="n"/>
      <c r="CZ8" s="13" t="n"/>
      <c r="DA8" s="13" t="n"/>
      <c r="DB8" s="53" t="n"/>
      <c r="DC8" s="7" t="n"/>
      <c r="DD8" s="13" t="n"/>
      <c r="DE8" s="13" t="n"/>
      <c r="DF8" s="13" t="n"/>
      <c r="DG8" s="13" t="n"/>
      <c r="DH8" s="53" t="n"/>
      <c r="DI8" s="7" t="n"/>
      <c r="DJ8" s="13" t="n"/>
      <c r="DK8" s="13" t="n"/>
      <c r="DL8" s="13" t="n"/>
      <c r="DM8" s="13" t="n"/>
      <c r="DN8" s="53" t="n"/>
      <c r="DO8" s="7" t="n"/>
      <c r="DP8" s="13" t="n"/>
      <c r="DQ8" s="13" t="n"/>
      <c r="DR8" s="13" t="n"/>
      <c r="DS8" s="13" t="n"/>
      <c r="DT8" s="53" t="n"/>
      <c r="DU8" s="7" t="n"/>
      <c r="DV8" s="13" t="n"/>
      <c r="DW8" s="13" t="n"/>
      <c r="DX8" s="13" t="n"/>
      <c r="DY8" s="13" t="n"/>
      <c r="DZ8" s="53" t="n"/>
      <c r="EA8" s="7" t="n"/>
      <c r="EB8" s="13" t="n"/>
      <c r="EC8" s="13" t="n"/>
      <c r="ED8" s="13" t="n"/>
      <c r="EE8" s="13" t="n"/>
      <c r="EF8" s="53" t="n"/>
      <c r="EG8" s="7" t="n"/>
      <c r="EH8" s="13" t="n"/>
      <c r="EI8" s="13" t="n"/>
      <c r="EJ8" s="13" t="n"/>
      <c r="EK8" s="13" t="n"/>
      <c r="EL8" s="53" t="n"/>
      <c r="EM8" s="7" t="n"/>
      <c r="EN8" s="13" t="n"/>
      <c r="EO8" s="13" t="n"/>
      <c r="EP8" s="13" t="n"/>
      <c r="EQ8" s="13" t="n"/>
    </row>
    <row r="9" ht="15" customFormat="1" customHeight="1" s="15" thickBot="1">
      <c r="A9" s="16" t="inlineStr">
        <is>
          <t>Blank</t>
        </is>
      </c>
      <c r="B9" s="16" t="inlineStr">
        <is>
          <t>Blank</t>
        </is>
      </c>
      <c r="C9" s="21" t="n"/>
      <c r="H9" s="82" t="inlineStr">
        <is>
          <t>Job Desc (not req'd)</t>
        </is>
      </c>
      <c r="I9" s="62" t="n"/>
      <c r="J9" s="35" t="n"/>
      <c r="K9" s="35" t="n"/>
      <c r="L9" s="35" t="n"/>
      <c r="M9" s="36" t="n"/>
      <c r="N9" s="36" t="n"/>
      <c r="O9" s="36" t="n"/>
      <c r="P9" s="36" t="n"/>
      <c r="Q9" s="8" t="n"/>
      <c r="R9" s="13" t="n"/>
      <c r="S9" s="13" t="n"/>
      <c r="T9" s="13" t="n"/>
      <c r="U9" s="13" t="n"/>
      <c r="V9" s="53" t="n"/>
      <c r="W9" s="8" t="n"/>
      <c r="X9" s="13" t="n"/>
      <c r="Y9" s="13" t="n"/>
      <c r="Z9" s="13" t="n"/>
      <c r="AA9" s="13" t="n"/>
      <c r="AB9" s="53" t="n"/>
      <c r="AC9" s="8" t="n"/>
      <c r="AD9" s="13" t="n"/>
      <c r="AE9" s="13" t="n"/>
      <c r="AF9" s="13" t="n"/>
      <c r="AG9" s="13" t="n"/>
      <c r="AH9" s="53" t="n"/>
      <c r="AI9" s="8" t="n"/>
      <c r="AJ9" s="13" t="n"/>
      <c r="AK9" s="13" t="n"/>
      <c r="AL9" s="13" t="n"/>
      <c r="AM9" s="13" t="n"/>
      <c r="AN9" s="53" t="n"/>
      <c r="AO9" s="8" t="n"/>
      <c r="AP9" s="13" t="n"/>
      <c r="AQ9" s="13" t="n"/>
      <c r="AR9" s="13" t="n"/>
      <c r="AS9" s="13" t="n"/>
      <c r="AT9" s="53" t="n"/>
      <c r="AU9" s="8" t="n"/>
      <c r="AV9" s="13" t="n"/>
      <c r="AW9" s="13" t="n"/>
      <c r="AX9" s="13" t="n"/>
      <c r="AY9" s="13" t="n"/>
      <c r="AZ9" s="53" t="n"/>
      <c r="BA9" s="8" t="n"/>
      <c r="BB9" s="13" t="n"/>
      <c r="BC9" s="13" t="n"/>
      <c r="BD9" s="13" t="n"/>
      <c r="BE9" s="13" t="n"/>
      <c r="BF9" s="53" t="n"/>
      <c r="BG9" s="8" t="n"/>
      <c r="BH9" s="13" t="n"/>
      <c r="BI9" s="13" t="n"/>
      <c r="BJ9" s="13" t="n"/>
      <c r="BK9" s="13" t="n"/>
      <c r="BL9" s="53" t="n"/>
      <c r="BM9" s="8" t="n"/>
      <c r="BN9" s="13" t="n"/>
      <c r="BO9" s="13" t="n"/>
      <c r="BP9" s="13" t="n"/>
      <c r="BQ9" s="13" t="n"/>
      <c r="BR9" s="53" t="n"/>
      <c r="BS9" s="8" t="n"/>
      <c r="BT9" s="13" t="n"/>
      <c r="BU9" s="13" t="n"/>
      <c r="BV9" s="13" t="n"/>
      <c r="BW9" s="13" t="n"/>
      <c r="BX9" s="53" t="n"/>
      <c r="BY9" s="8" t="n"/>
      <c r="BZ9" s="13" t="n"/>
      <c r="CA9" s="13" t="n"/>
      <c r="CB9" s="13" t="n"/>
      <c r="CC9" s="13" t="n"/>
      <c r="CD9" s="53" t="n"/>
      <c r="CE9" s="8" t="n"/>
      <c r="CF9" s="13" t="n"/>
      <c r="CG9" s="13" t="n"/>
      <c r="CH9" s="13" t="n"/>
      <c r="CI9" s="13" t="n"/>
      <c r="CJ9" s="53" t="n"/>
      <c r="CK9" s="8" t="n"/>
      <c r="CL9" s="13" t="n"/>
      <c r="CM9" s="13" t="n"/>
      <c r="CN9" s="13" t="n"/>
      <c r="CO9" s="13" t="n"/>
      <c r="CP9" s="53" t="n"/>
      <c r="CQ9" s="8" t="n"/>
      <c r="CR9" s="13" t="n"/>
      <c r="CS9" s="13" t="n"/>
      <c r="CT9" s="13" t="n"/>
      <c r="CU9" s="13" t="n"/>
      <c r="CV9" s="53" t="n"/>
      <c r="CW9" s="8" t="n"/>
      <c r="CX9" s="13" t="n"/>
      <c r="CY9" s="13" t="n"/>
      <c r="CZ9" s="13" t="n"/>
      <c r="DA9" s="13" t="n"/>
      <c r="DB9" s="53" t="n"/>
      <c r="DC9" s="8" t="n"/>
      <c r="DD9" s="13" t="n"/>
      <c r="DE9" s="13" t="n"/>
      <c r="DF9" s="13" t="n"/>
      <c r="DG9" s="13" t="n"/>
      <c r="DH9" s="53" t="n"/>
      <c r="DI9" s="8" t="n"/>
      <c r="DJ9" s="13" t="n"/>
      <c r="DK9" s="13" t="n"/>
      <c r="DL9" s="13" t="n"/>
      <c r="DM9" s="13" t="n"/>
      <c r="DN9" s="53" t="n"/>
      <c r="DO9" s="8" t="n"/>
      <c r="DP9" s="13" t="n"/>
      <c r="DQ9" s="13" t="n"/>
      <c r="DR9" s="13" t="n"/>
      <c r="DS9" s="13" t="n"/>
      <c r="DT9" s="53" t="n"/>
      <c r="DU9" s="8" t="n"/>
      <c r="DV9" s="13" t="n"/>
      <c r="DW9" s="13" t="n"/>
      <c r="DX9" s="13" t="n"/>
      <c r="DY9" s="13" t="n"/>
      <c r="DZ9" s="53" t="n"/>
      <c r="EA9" s="8" t="n"/>
      <c r="EB9" s="13" t="n"/>
      <c r="EC9" s="13" t="n"/>
      <c r="ED9" s="13" t="n"/>
      <c r="EE9" s="13" t="n"/>
      <c r="EF9" s="53" t="n"/>
      <c r="EG9" s="8" t="n"/>
      <c r="EH9" s="13" t="n"/>
      <c r="EI9" s="13" t="n"/>
      <c r="EJ9" s="13" t="n"/>
      <c r="EK9" s="13" t="n"/>
      <c r="EL9" s="53" t="n"/>
      <c r="EM9" s="8" t="n"/>
      <c r="EN9" s="13" t="n"/>
      <c r="EO9" s="13" t="n"/>
      <c r="EP9" s="13" t="n"/>
      <c r="EQ9" s="13" t="n"/>
    </row>
    <row r="10" ht="15" customFormat="1" customHeight="1" s="15" thickBot="1">
      <c r="A10" s="17" t="inlineStr">
        <is>
          <t>Blank</t>
        </is>
      </c>
      <c r="B10" s="17" t="inlineStr">
        <is>
          <t>Blank</t>
        </is>
      </c>
      <c r="H10" s="83" t="inlineStr">
        <is>
          <t>Task Number</t>
        </is>
      </c>
      <c r="I10" s="35" t="n"/>
      <c r="J10" s="35" t="n"/>
      <c r="K10" s="35" t="n"/>
      <c r="L10" s="35" t="n"/>
      <c r="M10" s="36" t="n"/>
      <c r="N10" s="36" t="n"/>
      <c r="O10" s="36" t="n"/>
      <c r="P10" s="36" t="n"/>
      <c r="Q10" s="50" t="n"/>
      <c r="R10" s="51" t="n"/>
      <c r="S10" s="51" t="n"/>
      <c r="T10" s="51" t="n"/>
      <c r="U10" s="51" t="n"/>
      <c r="V10" s="56" t="n"/>
      <c r="W10" s="52" t="n"/>
      <c r="X10" s="51" t="n"/>
      <c r="Y10" s="51" t="n"/>
      <c r="Z10" s="51" t="n"/>
      <c r="AA10" s="51" t="n"/>
      <c r="AB10" s="56" t="n"/>
      <c r="AC10" s="8" t="n"/>
      <c r="AD10" s="51" t="n"/>
      <c r="AE10" s="51" t="n"/>
      <c r="AF10" s="51" t="n"/>
      <c r="AG10" s="51" t="n"/>
      <c r="AH10" s="56" t="n"/>
      <c r="AI10" s="8" t="n"/>
      <c r="AJ10" s="51" t="n"/>
      <c r="AK10" s="51" t="n"/>
      <c r="AL10" s="51" t="n"/>
      <c r="AM10" s="51" t="n"/>
      <c r="AN10" s="56" t="n"/>
      <c r="AO10" s="52" t="n"/>
      <c r="AP10" s="51" t="n"/>
      <c r="AQ10" s="51" t="n"/>
      <c r="AR10" s="51" t="n"/>
      <c r="AS10" s="51" t="n"/>
      <c r="AT10" s="56" t="n"/>
      <c r="AU10" s="52" t="n"/>
      <c r="AV10" s="51" t="n"/>
      <c r="AW10" s="51" t="n"/>
      <c r="AX10" s="51" t="n"/>
      <c r="AY10" s="51" t="n"/>
      <c r="AZ10" s="56" t="n"/>
      <c r="BA10" s="52" t="n"/>
      <c r="BB10" s="51" t="n"/>
      <c r="BC10" s="51" t="n"/>
      <c r="BD10" s="51" t="n"/>
      <c r="BE10" s="51" t="n"/>
      <c r="BF10" s="56" t="n"/>
      <c r="BG10" s="52" t="n"/>
      <c r="BH10" s="51" t="n"/>
      <c r="BI10" s="51" t="n"/>
      <c r="BJ10" s="51" t="n"/>
      <c r="BK10" s="51" t="n"/>
      <c r="BL10" s="56" t="n"/>
      <c r="BM10" s="52" t="n"/>
      <c r="BN10" s="51" t="n"/>
      <c r="BO10" s="51" t="n"/>
      <c r="BP10" s="51" t="n"/>
      <c r="BQ10" s="51" t="n"/>
      <c r="BR10" s="56" t="n"/>
      <c r="BS10" s="52" t="n"/>
      <c r="BT10" s="51" t="n"/>
      <c r="BU10" s="51" t="n"/>
      <c r="BV10" s="51" t="n"/>
      <c r="BW10" s="51" t="n"/>
      <c r="BX10" s="56" t="n"/>
      <c r="BY10" s="52" t="n"/>
      <c r="BZ10" s="51" t="n"/>
      <c r="CA10" s="51" t="n"/>
      <c r="CB10" s="51" t="n"/>
      <c r="CC10" s="51" t="n"/>
      <c r="CD10" s="56" t="n"/>
      <c r="CE10" s="52" t="n"/>
      <c r="CF10" s="51" t="n"/>
      <c r="CG10" s="51" t="n"/>
      <c r="CH10" s="51" t="n"/>
      <c r="CI10" s="51" t="n"/>
      <c r="CJ10" s="56" t="n"/>
      <c r="CK10" s="52" t="n"/>
      <c r="CL10" s="51" t="n"/>
      <c r="CM10" s="51" t="n"/>
      <c r="CN10" s="51" t="n"/>
      <c r="CO10" s="51" t="n"/>
      <c r="CP10" s="56" t="n"/>
      <c r="CQ10" s="52" t="n"/>
      <c r="CR10" s="51" t="n"/>
      <c r="CS10" s="51" t="n"/>
      <c r="CT10" s="51" t="n"/>
      <c r="CU10" s="51" t="n"/>
      <c r="CV10" s="56" t="n"/>
      <c r="CW10" s="52" t="n"/>
      <c r="CX10" s="51" t="n"/>
      <c r="CY10" s="51" t="n"/>
      <c r="CZ10" s="51" t="n"/>
      <c r="DA10" s="51" t="n"/>
      <c r="DB10" s="56" t="n"/>
      <c r="DC10" s="52" t="n"/>
      <c r="DD10" s="51" t="n"/>
      <c r="DE10" s="51" t="n"/>
      <c r="DF10" s="51" t="n"/>
      <c r="DG10" s="51" t="n"/>
      <c r="DH10" s="56" t="n"/>
      <c r="DI10" s="52" t="n"/>
      <c r="DJ10" s="51" t="n"/>
      <c r="DK10" s="51" t="n"/>
      <c r="DL10" s="51" t="n"/>
      <c r="DM10" s="51" t="n"/>
      <c r="DN10" s="56" t="n"/>
      <c r="DO10" s="52" t="n"/>
      <c r="DP10" s="51" t="n"/>
      <c r="DQ10" s="51" t="n"/>
      <c r="DR10" s="51" t="n"/>
      <c r="DS10" s="51" t="n"/>
      <c r="DT10" s="56" t="n"/>
      <c r="DU10" s="52" t="n"/>
      <c r="DV10" s="51" t="n"/>
      <c r="DW10" s="51" t="n"/>
      <c r="DX10" s="51" t="n"/>
      <c r="DY10" s="51" t="n"/>
      <c r="DZ10" s="56" t="n"/>
      <c r="EA10" s="52" t="n"/>
      <c r="EB10" s="51" t="n"/>
      <c r="EC10" s="51" t="n"/>
      <c r="ED10" s="51" t="n"/>
      <c r="EE10" s="51" t="n"/>
      <c r="EF10" s="56" t="n"/>
      <c r="EG10" s="52" t="n"/>
      <c r="EH10" s="51" t="n"/>
      <c r="EI10" s="51" t="n"/>
      <c r="EJ10" s="51" t="n"/>
      <c r="EK10" s="51" t="n"/>
      <c r="EL10" s="56" t="n"/>
      <c r="EM10" s="52" t="n"/>
      <c r="EN10" s="51" t="n"/>
      <c r="EO10" s="51" t="n"/>
      <c r="EP10" s="51" t="n"/>
      <c r="EQ10" s="51" t="n"/>
    </row>
    <row r="11" ht="46" customFormat="1" customHeight="1" s="17">
      <c r="A11" s="13" t="inlineStr">
        <is>
          <t>Summary</t>
        </is>
      </c>
      <c r="B11" s="16" t="inlineStr">
        <is>
          <t>Blank</t>
        </is>
      </c>
      <c r="C11" s="84" t="inlineStr">
        <is>
          <t>Employee Name</t>
        </is>
      </c>
      <c r="D11" s="84" t="inlineStr">
        <is>
          <t>Position</t>
        </is>
      </c>
      <c r="E11" s="84" t="inlineStr">
        <is>
          <t>Total Hours</t>
        </is>
      </c>
      <c r="F11" s="84" t="inlineStr">
        <is>
          <t>RT Hours</t>
        </is>
      </c>
      <c r="G11" s="84" t="inlineStr">
        <is>
          <t>DT Hours</t>
        </is>
      </c>
      <c r="H11" s="84" t="inlineStr">
        <is>
          <t>Work Location</t>
        </is>
      </c>
      <c r="I11" s="84" t="inlineStr">
        <is>
          <t>Swipe Deviation (if Appr Offsite is used as Hold Up)</t>
        </is>
      </c>
      <c r="J11" s="84" t="inlineStr">
        <is>
          <t>Special Rate Considerations (Free Text)</t>
        </is>
      </c>
      <c r="K11" s="84" t="inlineStr">
        <is>
          <t>Daily LOA</t>
        </is>
      </c>
      <c r="L11" s="84" t="inlineStr">
        <is>
          <t>Which Column?</t>
        </is>
      </c>
      <c r="M11" s="84" t="inlineStr">
        <is>
          <t>Meal $$</t>
        </is>
      </c>
      <c r="N11" s="84" t="inlineStr">
        <is>
          <t>Which Column?</t>
        </is>
      </c>
      <c r="O11" s="84" t="inlineStr">
        <is>
          <t>Meal Order</t>
        </is>
      </c>
      <c r="P11" s="84" t="inlineStr">
        <is>
          <t>Which Column?</t>
        </is>
      </c>
      <c r="Q11" s="85" t="inlineStr">
        <is>
          <t>R</t>
        </is>
      </c>
      <c r="R11" s="84" t="inlineStr">
        <is>
          <t>DT</t>
        </is>
      </c>
      <c r="S11" s="84" t="inlineStr">
        <is>
          <t>Hold Up RT</t>
        </is>
      </c>
      <c r="T11" s="84" t="inlineStr">
        <is>
          <t>Hold Up DT</t>
        </is>
      </c>
      <c r="U11" s="84" t="inlineStr">
        <is>
          <t>Hold Up Type</t>
        </is>
      </c>
      <c r="V11" s="57" t="n"/>
      <c r="W11" s="84" t="inlineStr">
        <is>
          <t>R</t>
        </is>
      </c>
      <c r="X11" s="84" t="inlineStr">
        <is>
          <t>DT</t>
        </is>
      </c>
      <c r="Y11" s="84" t="inlineStr">
        <is>
          <t>Hold Up RT</t>
        </is>
      </c>
      <c r="Z11" s="84" t="inlineStr">
        <is>
          <t>Hold Up DT</t>
        </is>
      </c>
      <c r="AA11" s="84" t="inlineStr">
        <is>
          <t>Hold Up Type</t>
        </is>
      </c>
      <c r="AB11" s="55" t="n"/>
      <c r="AC11" s="84" t="inlineStr">
        <is>
          <t>R</t>
        </is>
      </c>
      <c r="AD11" s="84" t="inlineStr">
        <is>
          <t>DT</t>
        </is>
      </c>
      <c r="AE11" s="84" t="inlineStr">
        <is>
          <t>Hold Up RT</t>
        </is>
      </c>
      <c r="AF11" s="84" t="inlineStr">
        <is>
          <t>Hold Up DT</t>
        </is>
      </c>
      <c r="AG11" s="84" t="inlineStr">
        <is>
          <t>Hold Up Type</t>
        </is>
      </c>
      <c r="AH11" s="55" t="n"/>
      <c r="AI11" s="84" t="inlineStr">
        <is>
          <t>R</t>
        </is>
      </c>
      <c r="AJ11" s="84" t="inlineStr">
        <is>
          <t>DT</t>
        </is>
      </c>
      <c r="AK11" s="84" t="inlineStr">
        <is>
          <t>Hold Up RT</t>
        </is>
      </c>
      <c r="AL11" s="84" t="inlineStr">
        <is>
          <t>Hold Up DT</t>
        </is>
      </c>
      <c r="AM11" s="84" t="inlineStr">
        <is>
          <t>Hold Up Type</t>
        </is>
      </c>
      <c r="AN11" s="55" t="n"/>
      <c r="AO11" s="84" t="inlineStr">
        <is>
          <t>R</t>
        </is>
      </c>
      <c r="AP11" s="84" t="inlineStr">
        <is>
          <t>DT</t>
        </is>
      </c>
      <c r="AQ11" s="84" t="inlineStr">
        <is>
          <t>Hold Up RT</t>
        </is>
      </c>
      <c r="AR11" s="84" t="inlineStr">
        <is>
          <t>Hold Up DT</t>
        </is>
      </c>
      <c r="AS11" s="84" t="inlineStr">
        <is>
          <t>Hold Up Type</t>
        </is>
      </c>
      <c r="AT11" s="55" t="n"/>
      <c r="AU11" s="84" t="inlineStr">
        <is>
          <t>R</t>
        </is>
      </c>
      <c r="AV11" s="84" t="inlineStr">
        <is>
          <t>DT</t>
        </is>
      </c>
      <c r="AW11" s="84" t="inlineStr">
        <is>
          <t>Hold Up RT</t>
        </is>
      </c>
      <c r="AX11" s="84" t="inlineStr">
        <is>
          <t>Hold Up DT</t>
        </is>
      </c>
      <c r="AY11" s="84" t="inlineStr">
        <is>
          <t>Hold Up Type</t>
        </is>
      </c>
      <c r="AZ11" s="55" t="n"/>
      <c r="BA11" s="84" t="inlineStr">
        <is>
          <t>R</t>
        </is>
      </c>
      <c r="BB11" s="84" t="inlineStr">
        <is>
          <t>DT</t>
        </is>
      </c>
      <c r="BC11" s="84" t="inlineStr">
        <is>
          <t>Hold Up RT</t>
        </is>
      </c>
      <c r="BD11" s="84" t="inlineStr">
        <is>
          <t>Hold Up DT</t>
        </is>
      </c>
      <c r="BE11" s="84" t="inlineStr">
        <is>
          <t>Hold Up Type</t>
        </is>
      </c>
      <c r="BF11" s="55" t="n"/>
      <c r="BG11" s="84" t="inlineStr">
        <is>
          <t>R</t>
        </is>
      </c>
      <c r="BH11" s="84" t="inlineStr">
        <is>
          <t>DT</t>
        </is>
      </c>
      <c r="BI11" s="84" t="inlineStr">
        <is>
          <t>Hold Up RT</t>
        </is>
      </c>
      <c r="BJ11" s="84" t="inlineStr">
        <is>
          <t>Hold Up DT</t>
        </is>
      </c>
      <c r="BK11" s="84" t="inlineStr">
        <is>
          <t>Hold Up Type</t>
        </is>
      </c>
      <c r="BL11" s="55" t="n"/>
      <c r="BM11" s="84" t="inlineStr">
        <is>
          <t>R</t>
        </is>
      </c>
      <c r="BN11" s="84" t="inlineStr">
        <is>
          <t>DT</t>
        </is>
      </c>
      <c r="BO11" s="84" t="inlineStr">
        <is>
          <t>Hold Up RT</t>
        </is>
      </c>
      <c r="BP11" s="84" t="inlineStr">
        <is>
          <t>Hold Up DT</t>
        </is>
      </c>
      <c r="BQ11" s="84" t="inlineStr">
        <is>
          <t>Hold Up Type</t>
        </is>
      </c>
      <c r="BR11" s="55" t="n"/>
      <c r="BS11" s="84" t="inlineStr">
        <is>
          <t>R</t>
        </is>
      </c>
      <c r="BT11" s="84" t="inlineStr">
        <is>
          <t>DT</t>
        </is>
      </c>
      <c r="BU11" s="84" t="inlineStr">
        <is>
          <t>Hold Up RT</t>
        </is>
      </c>
      <c r="BV11" s="84" t="inlineStr">
        <is>
          <t>Hold Up DT</t>
        </is>
      </c>
      <c r="BW11" s="84" t="inlineStr">
        <is>
          <t>Hold Up Type</t>
        </is>
      </c>
      <c r="BX11" s="55" t="n"/>
      <c r="BY11" s="84" t="inlineStr">
        <is>
          <t>R</t>
        </is>
      </c>
      <c r="BZ11" s="84" t="inlineStr">
        <is>
          <t>DT</t>
        </is>
      </c>
      <c r="CA11" s="84" t="inlineStr">
        <is>
          <t>Hold Up RT</t>
        </is>
      </c>
      <c r="CB11" s="84" t="inlineStr">
        <is>
          <t>Hold Up DT</t>
        </is>
      </c>
      <c r="CC11" s="84" t="inlineStr">
        <is>
          <t>Hold Up Type</t>
        </is>
      </c>
      <c r="CD11" s="55" t="n"/>
      <c r="CE11" s="84" t="inlineStr">
        <is>
          <t>R</t>
        </is>
      </c>
      <c r="CF11" s="84" t="inlineStr">
        <is>
          <t>DT</t>
        </is>
      </c>
      <c r="CG11" s="84" t="inlineStr">
        <is>
          <t>Hold Up RT</t>
        </is>
      </c>
      <c r="CH11" s="84" t="inlineStr">
        <is>
          <t>Hold Up DT</t>
        </is>
      </c>
      <c r="CI11" s="84" t="inlineStr">
        <is>
          <t>Hold Up Type</t>
        </is>
      </c>
      <c r="CJ11" s="55" t="n"/>
      <c r="CK11" s="84" t="inlineStr">
        <is>
          <t>R</t>
        </is>
      </c>
      <c r="CL11" s="84" t="inlineStr">
        <is>
          <t>DT</t>
        </is>
      </c>
      <c r="CM11" s="84" t="inlineStr">
        <is>
          <t>Hold Up RT</t>
        </is>
      </c>
      <c r="CN11" s="84" t="inlineStr">
        <is>
          <t>Hold Up DT</t>
        </is>
      </c>
      <c r="CO11" s="84" t="inlineStr">
        <is>
          <t>Hold Up Type</t>
        </is>
      </c>
      <c r="CP11" s="55" t="n"/>
      <c r="CQ11" s="84" t="inlineStr">
        <is>
          <t>R</t>
        </is>
      </c>
      <c r="CR11" s="84" t="inlineStr">
        <is>
          <t>DT</t>
        </is>
      </c>
      <c r="CS11" s="84" t="inlineStr">
        <is>
          <t>Hold Up RT</t>
        </is>
      </c>
      <c r="CT11" s="84" t="inlineStr">
        <is>
          <t>Hold Up DT</t>
        </is>
      </c>
      <c r="CU11" s="84" t="inlineStr">
        <is>
          <t>Hold Up Type</t>
        </is>
      </c>
      <c r="CV11" s="55" t="n"/>
      <c r="CW11" s="84" t="inlineStr">
        <is>
          <t>R</t>
        </is>
      </c>
      <c r="CX11" s="84" t="inlineStr">
        <is>
          <t>DT</t>
        </is>
      </c>
      <c r="CY11" s="84" t="inlineStr">
        <is>
          <t>Hold Up RT</t>
        </is>
      </c>
      <c r="CZ11" s="84" t="inlineStr">
        <is>
          <t>Hold Up DT</t>
        </is>
      </c>
      <c r="DA11" s="84" t="inlineStr">
        <is>
          <t>Hold Up Type</t>
        </is>
      </c>
      <c r="DB11" s="55" t="n"/>
      <c r="DC11" s="84" t="inlineStr">
        <is>
          <t>R</t>
        </is>
      </c>
      <c r="DD11" s="84" t="inlineStr">
        <is>
          <t>DT</t>
        </is>
      </c>
      <c r="DE11" s="84" t="inlineStr">
        <is>
          <t>Hold Up RT</t>
        </is>
      </c>
      <c r="DF11" s="84" t="inlineStr">
        <is>
          <t>Hold Up DT</t>
        </is>
      </c>
      <c r="DG11" s="84" t="inlineStr">
        <is>
          <t>Hold Up Type</t>
        </is>
      </c>
      <c r="DH11" s="55" t="n"/>
      <c r="DI11" s="84" t="inlineStr">
        <is>
          <t>R</t>
        </is>
      </c>
      <c r="DJ11" s="84" t="inlineStr">
        <is>
          <t>DT</t>
        </is>
      </c>
      <c r="DK11" s="84" t="inlineStr">
        <is>
          <t>Hold Up RT</t>
        </is>
      </c>
      <c r="DL11" s="84" t="inlineStr">
        <is>
          <t>Hold Up DT</t>
        </is>
      </c>
      <c r="DM11" s="84" t="inlineStr">
        <is>
          <t>Hold Up Type</t>
        </is>
      </c>
      <c r="DN11" s="55" t="n"/>
      <c r="DO11" s="84" t="inlineStr">
        <is>
          <t>R</t>
        </is>
      </c>
      <c r="DP11" s="84" t="inlineStr">
        <is>
          <t>DT</t>
        </is>
      </c>
      <c r="DQ11" s="84" t="inlineStr">
        <is>
          <t>Hold Up RT</t>
        </is>
      </c>
      <c r="DR11" s="84" t="inlineStr">
        <is>
          <t>Hold Up DT</t>
        </is>
      </c>
      <c r="DS11" s="84" t="inlineStr">
        <is>
          <t>Hold Up Type</t>
        </is>
      </c>
      <c r="DT11" s="55" t="n"/>
      <c r="DU11" s="84" t="inlineStr">
        <is>
          <t>R</t>
        </is>
      </c>
      <c r="DV11" s="84" t="inlineStr">
        <is>
          <t>DT</t>
        </is>
      </c>
      <c r="DW11" s="84" t="inlineStr">
        <is>
          <t>Hold Up RT</t>
        </is>
      </c>
      <c r="DX11" s="84" t="inlineStr">
        <is>
          <t>Hold Up DT</t>
        </is>
      </c>
      <c r="DY11" s="84" t="inlineStr">
        <is>
          <t>Hold Up Type</t>
        </is>
      </c>
      <c r="DZ11" s="55" t="n"/>
      <c r="EA11" s="84" t="inlineStr">
        <is>
          <t>R</t>
        </is>
      </c>
      <c r="EB11" s="84" t="inlineStr">
        <is>
          <t>DT</t>
        </is>
      </c>
      <c r="EC11" s="84" t="inlineStr">
        <is>
          <t>Hold Up RT</t>
        </is>
      </c>
      <c r="ED11" s="84" t="inlineStr">
        <is>
          <t>Hold Up DT</t>
        </is>
      </c>
      <c r="EE11" s="84" t="inlineStr">
        <is>
          <t>Hold Up Type</t>
        </is>
      </c>
      <c r="EF11" s="55" t="n"/>
      <c r="EG11" s="84" t="inlineStr">
        <is>
          <t>R</t>
        </is>
      </c>
      <c r="EH11" s="84" t="inlineStr">
        <is>
          <t>DT</t>
        </is>
      </c>
      <c r="EI11" s="84" t="inlineStr">
        <is>
          <t>Hold Up RT</t>
        </is>
      </c>
      <c r="EJ11" s="84" t="inlineStr">
        <is>
          <t>Hold Up DT</t>
        </is>
      </c>
      <c r="EK11" s="84" t="inlineStr">
        <is>
          <t>Hold Up Type</t>
        </is>
      </c>
      <c r="EL11" s="55" t="n"/>
      <c r="EM11" s="84" t="inlineStr">
        <is>
          <t>R</t>
        </is>
      </c>
      <c r="EN11" s="84" t="inlineStr">
        <is>
          <t>DT</t>
        </is>
      </c>
      <c r="EO11" s="84" t="inlineStr">
        <is>
          <t>Hold Up RT</t>
        </is>
      </c>
      <c r="EP11" s="84" t="inlineStr">
        <is>
          <t>Hold Up DT</t>
        </is>
      </c>
      <c r="EQ11" s="84" t="inlineStr">
        <is>
          <t>Hold Up Type</t>
        </is>
      </c>
    </row>
    <row r="12" ht="28.8" customFormat="1" customHeight="1" s="15">
      <c r="A12" s="14" t="inlineStr">
        <is>
          <t>Labor</t>
        </is>
      </c>
      <c r="B12" s="18">
        <f>TEXT($C$7,"yyyy-mm-dd")&amp;"Separate123"&amp;IF($D$7="","XYZ",$D$7)&amp;"Separate123"&amp;"Row"&amp;ROW()</f>
        <v/>
      </c>
      <c r="C12" s="1" t="inlineStr">
        <is>
          <t>Joshi, Nitin (9745)</t>
        </is>
      </c>
      <c r="D12" s="1" t="inlineStr">
        <is>
          <t>PC - Data Analyst</t>
        </is>
      </c>
      <c r="E12" s="28">
        <f>IF(AND(F12="",G12=""),"",IF(F12="",0,F12)+IF(G12="",0,G12))</f>
        <v/>
      </c>
      <c r="F12" s="28">
        <f>IF(SUMIF($Q$11:$EQ$11,"R",Q12:EQ12)=0,"",SUMIF($Q$11:$EQ$11,"R",Q12:EQ12))</f>
        <v/>
      </c>
      <c r="G12" s="28">
        <f>IF(SUMIF($Q$11:$EQ$11,"DT",Q12:EQ12)=0,"",SUMIF($Q$11:$EQ$11,"DT",Q12:EQ12))</f>
        <v/>
      </c>
      <c r="H12" s="64" t="inlineStr">
        <is>
          <t>2 - Office</t>
        </is>
      </c>
      <c r="I12" s="64" t="n"/>
      <c r="J12" s="64" t="n"/>
      <c r="K12" s="67" t="n"/>
      <c r="L12" s="67" t="n"/>
      <c r="M12" s="69" t="n"/>
      <c r="N12" s="70" t="n"/>
      <c r="O12" s="72" t="n"/>
      <c r="P12" s="72" t="n"/>
      <c r="Q12" s="5" t="n">
        <v>8</v>
      </c>
      <c r="R12" s="2" t="n"/>
      <c r="S12" s="2" t="n"/>
      <c r="T12" s="2" t="n"/>
      <c r="U12" s="65" t="n"/>
      <c r="V12" s="58" t="n"/>
      <c r="W12" s="5" t="n"/>
      <c r="X12" s="2" t="n"/>
      <c r="Y12" s="2" t="n"/>
      <c r="Z12" s="2" t="n"/>
      <c r="AA12" s="65" t="n"/>
      <c r="AB12" s="58" t="n"/>
      <c r="AC12" s="2" t="n"/>
      <c r="AD12" s="2" t="n"/>
      <c r="AE12" s="2" t="n"/>
      <c r="AF12" s="2" t="n"/>
      <c r="AG12" s="65" t="n"/>
      <c r="AH12" s="58" t="n"/>
      <c r="AI12" s="2" t="n"/>
      <c r="AJ12" s="2" t="n"/>
      <c r="AK12" s="2" t="n"/>
      <c r="AL12" s="2" t="n"/>
      <c r="AM12" s="65" t="n"/>
      <c r="AN12" s="58" t="n"/>
      <c r="AO12" s="2" t="n"/>
      <c r="AP12" s="2" t="n"/>
      <c r="AQ12" s="2" t="n"/>
      <c r="AR12" s="2" t="n"/>
      <c r="AS12" s="65" t="n"/>
      <c r="AT12" s="58" t="n"/>
      <c r="AU12" s="2" t="n"/>
      <c r="AV12" s="2" t="n"/>
      <c r="AW12" s="2" t="n"/>
      <c r="AX12" s="2" t="n"/>
      <c r="AY12" s="65" t="n"/>
      <c r="AZ12" s="58" t="n"/>
      <c r="BA12" s="2" t="n"/>
      <c r="BB12" s="2" t="n"/>
      <c r="BC12" s="2" t="n"/>
      <c r="BD12" s="2" t="n"/>
      <c r="BE12" s="65" t="n"/>
      <c r="BF12" s="58" t="n"/>
      <c r="BG12" s="2" t="n"/>
      <c r="BH12" s="2" t="n"/>
      <c r="BI12" s="2" t="n"/>
      <c r="BJ12" s="2" t="n"/>
      <c r="BK12" s="65" t="n"/>
      <c r="BL12" s="58" t="n"/>
      <c r="BM12" s="2" t="n"/>
      <c r="BN12" s="2" t="n"/>
      <c r="BO12" s="2" t="n"/>
      <c r="BP12" s="2" t="n"/>
      <c r="BQ12" s="65" t="n"/>
      <c r="BR12" s="58" t="n"/>
      <c r="BS12" s="2" t="n"/>
      <c r="BT12" s="2" t="n"/>
      <c r="BU12" s="2" t="n"/>
      <c r="BV12" s="2" t="n"/>
      <c r="BW12" s="65" t="n"/>
      <c r="BX12" s="58" t="n"/>
      <c r="BY12" s="2" t="n"/>
      <c r="BZ12" s="2" t="n"/>
      <c r="CA12" s="2" t="n"/>
      <c r="CB12" s="2" t="n"/>
      <c r="CC12" s="65" t="n"/>
      <c r="CD12" s="58" t="n"/>
      <c r="CE12" s="2" t="n"/>
      <c r="CF12" s="2" t="n"/>
      <c r="CG12" s="2" t="n"/>
      <c r="CH12" s="2" t="n"/>
      <c r="CI12" s="65" t="n"/>
      <c r="CJ12" s="58" t="n"/>
      <c r="CK12" s="2" t="n"/>
      <c r="CL12" s="2" t="n"/>
      <c r="CM12" s="2" t="n"/>
      <c r="CN12" s="2" t="n"/>
      <c r="CO12" s="65" t="n"/>
      <c r="CP12" s="58" t="n"/>
      <c r="CQ12" s="2" t="n"/>
      <c r="CR12" s="2" t="n"/>
      <c r="CS12" s="2" t="n"/>
      <c r="CT12" s="2" t="n"/>
      <c r="CU12" s="65" t="n"/>
      <c r="CV12" s="58" t="n"/>
      <c r="CW12" s="2" t="n"/>
      <c r="CX12" s="2" t="n"/>
      <c r="CY12" s="2" t="n"/>
      <c r="CZ12" s="2" t="n"/>
      <c r="DA12" s="65" t="n"/>
      <c r="DB12" s="58" t="n"/>
      <c r="DC12" s="2" t="n"/>
      <c r="DD12" s="2" t="n"/>
      <c r="DE12" s="2" t="n"/>
      <c r="DF12" s="2" t="n"/>
      <c r="DG12" s="65" t="n"/>
      <c r="DH12" s="58" t="n"/>
      <c r="DI12" s="2" t="n"/>
      <c r="DJ12" s="2" t="n"/>
      <c r="DK12" s="2" t="n"/>
      <c r="DL12" s="2" t="n"/>
      <c r="DM12" s="65" t="n"/>
      <c r="DN12" s="58" t="n"/>
      <c r="DO12" s="2" t="n"/>
      <c r="DP12" s="2" t="n"/>
      <c r="DQ12" s="2" t="n"/>
      <c r="DR12" s="2" t="n"/>
      <c r="DS12" s="65" t="n"/>
      <c r="DT12" s="58" t="n"/>
      <c r="DU12" s="2" t="n"/>
      <c r="DV12" s="2" t="n"/>
      <c r="DW12" s="2" t="n"/>
      <c r="DX12" s="2" t="n"/>
      <c r="DY12" s="65" t="n"/>
      <c r="DZ12" s="58" t="n"/>
      <c r="EA12" s="2" t="n"/>
      <c r="EB12" s="2" t="n"/>
      <c r="EC12" s="2" t="n"/>
      <c r="ED12" s="2" t="n"/>
      <c r="EE12" s="65" t="n"/>
      <c r="EF12" s="58" t="n"/>
      <c r="EG12" s="2" t="n"/>
      <c r="EH12" s="2" t="n"/>
      <c r="EI12" s="2" t="n"/>
      <c r="EJ12" s="2" t="n"/>
      <c r="EK12" s="65" t="n"/>
      <c r="EL12" s="58" t="n"/>
      <c r="EM12" s="2" t="n"/>
      <c r="EN12" s="2" t="n"/>
      <c r="EO12" s="2" t="n"/>
      <c r="EP12" s="2" t="n"/>
      <c r="EQ12" s="65" t="n"/>
    </row>
    <row r="13" customFormat="1" s="15">
      <c r="A13" s="14" t="inlineStr">
        <is>
          <t>Labor</t>
        </is>
      </c>
      <c r="B13" s="18">
        <f>TEXT($C$7,"yyyy-mm-dd")&amp;"Separate123"&amp;IF($D$7="","XYZ",$D$7)&amp;"Separate123"&amp;"Row"&amp;ROW()</f>
        <v/>
      </c>
      <c r="C13" s="1" t="n"/>
      <c r="D13" s="1" t="n"/>
      <c r="E13" s="28" t="n"/>
      <c r="F13" s="28" t="n"/>
      <c r="G13" s="28" t="n"/>
      <c r="H13" s="64" t="n"/>
      <c r="I13" s="64" t="n"/>
      <c r="J13" s="64" t="n"/>
      <c r="K13" s="67" t="n"/>
      <c r="L13" s="67" t="n"/>
      <c r="M13" s="69" t="n"/>
      <c r="N13" s="70" t="n"/>
      <c r="O13" s="72" t="n"/>
      <c r="P13" s="72" t="n"/>
      <c r="Q13" s="5" t="n"/>
      <c r="R13" s="2" t="n"/>
      <c r="S13" s="2" t="n"/>
      <c r="T13" s="2" t="n"/>
      <c r="U13" s="65" t="n"/>
      <c r="V13" s="58" t="n"/>
      <c r="W13" s="5" t="n"/>
      <c r="X13" s="2" t="n"/>
      <c r="Y13" s="2" t="n"/>
      <c r="Z13" s="2" t="n"/>
      <c r="AA13" s="65" t="n"/>
      <c r="AB13" s="58" t="n"/>
      <c r="AC13" s="2" t="n"/>
      <c r="AD13" s="2" t="n"/>
      <c r="AE13" s="2" t="n"/>
      <c r="AF13" s="2" t="n"/>
      <c r="AG13" s="65" t="n"/>
      <c r="AH13" s="58" t="n"/>
      <c r="AI13" s="2" t="n"/>
      <c r="AJ13" s="2" t="n"/>
      <c r="AK13" s="2" t="n"/>
      <c r="AL13" s="2" t="n"/>
      <c r="AM13" s="65" t="n"/>
      <c r="AN13" s="58" t="n"/>
      <c r="AO13" s="2" t="n"/>
      <c r="AP13" s="2" t="n"/>
      <c r="AQ13" s="2" t="n"/>
      <c r="AR13" s="2" t="n"/>
      <c r="AS13" s="65" t="n"/>
      <c r="AT13" s="58" t="n"/>
      <c r="AU13" s="2" t="n"/>
      <c r="AV13" s="2" t="n"/>
      <c r="AW13" s="2" t="n"/>
      <c r="AX13" s="2" t="n"/>
      <c r="AY13" s="65" t="n"/>
      <c r="AZ13" s="58" t="n"/>
      <c r="BA13" s="2" t="n"/>
      <c r="BB13" s="2" t="n"/>
      <c r="BC13" s="2" t="n"/>
      <c r="BD13" s="2" t="n"/>
      <c r="BE13" s="65" t="n"/>
      <c r="BF13" s="58" t="n"/>
      <c r="BG13" s="2" t="n"/>
      <c r="BH13" s="2" t="n"/>
      <c r="BI13" s="2" t="n"/>
      <c r="BJ13" s="2" t="n"/>
      <c r="BK13" s="65" t="n"/>
      <c r="BL13" s="58" t="n"/>
      <c r="BM13" s="2" t="n"/>
      <c r="BN13" s="2" t="n"/>
      <c r="BO13" s="2" t="n"/>
      <c r="BP13" s="2" t="n"/>
      <c r="BQ13" s="65" t="n"/>
      <c r="BR13" s="58" t="n"/>
      <c r="BS13" s="2" t="n"/>
      <c r="BT13" s="2" t="n"/>
      <c r="BU13" s="2" t="n"/>
      <c r="BV13" s="2" t="n"/>
      <c r="BW13" s="65" t="n"/>
      <c r="BX13" s="58" t="n"/>
      <c r="BY13" s="2" t="n"/>
      <c r="BZ13" s="2" t="n"/>
      <c r="CA13" s="2" t="n"/>
      <c r="CB13" s="2" t="n"/>
      <c r="CC13" s="65" t="n"/>
      <c r="CD13" s="58" t="n"/>
      <c r="CE13" s="2" t="n"/>
      <c r="CF13" s="2" t="n"/>
      <c r="CG13" s="2" t="n"/>
      <c r="CH13" s="2" t="n"/>
      <c r="CI13" s="65" t="n"/>
      <c r="CJ13" s="58" t="n"/>
      <c r="CK13" s="2" t="n"/>
      <c r="CL13" s="2" t="n"/>
      <c r="CM13" s="2" t="n"/>
      <c r="CN13" s="2" t="n"/>
      <c r="CO13" s="65" t="n"/>
      <c r="CP13" s="58" t="n"/>
      <c r="CQ13" s="2" t="n"/>
      <c r="CR13" s="2" t="n"/>
      <c r="CS13" s="2" t="n"/>
      <c r="CT13" s="2" t="n"/>
      <c r="CU13" s="65" t="n"/>
      <c r="CV13" s="58" t="n"/>
      <c r="CW13" s="2" t="n"/>
      <c r="CX13" s="2" t="n"/>
      <c r="CY13" s="2" t="n"/>
      <c r="CZ13" s="2" t="n"/>
      <c r="DA13" s="65" t="n"/>
      <c r="DB13" s="58" t="n"/>
      <c r="DC13" s="2" t="n"/>
      <c r="DD13" s="2" t="n"/>
      <c r="DE13" s="2" t="n"/>
      <c r="DF13" s="2" t="n"/>
      <c r="DG13" s="65" t="n"/>
      <c r="DH13" s="58" t="n"/>
      <c r="DI13" s="2" t="n"/>
      <c r="DJ13" s="2" t="n"/>
      <c r="DK13" s="2" t="n"/>
      <c r="DL13" s="2" t="n"/>
      <c r="DM13" s="65" t="n"/>
      <c r="DN13" s="58" t="n"/>
      <c r="DO13" s="2" t="n"/>
      <c r="DP13" s="2" t="n"/>
      <c r="DQ13" s="2" t="n"/>
      <c r="DR13" s="2" t="n"/>
      <c r="DS13" s="65" t="n"/>
      <c r="DT13" s="58" t="n"/>
      <c r="DU13" s="2" t="n"/>
      <c r="DV13" s="2" t="n"/>
      <c r="DW13" s="2" t="n"/>
      <c r="DX13" s="2" t="n"/>
      <c r="DY13" s="65" t="n"/>
      <c r="DZ13" s="58" t="n"/>
      <c r="EA13" s="2" t="n"/>
      <c r="EB13" s="2" t="n"/>
      <c r="EC13" s="2" t="n"/>
      <c r="ED13" s="2" t="n"/>
      <c r="EE13" s="65" t="n"/>
      <c r="EF13" s="58" t="n"/>
      <c r="EG13" s="2" t="n"/>
      <c r="EH13" s="2" t="n"/>
      <c r="EI13" s="2" t="n"/>
      <c r="EJ13" s="2" t="n"/>
      <c r="EK13" s="65" t="n"/>
      <c r="EL13" s="58" t="n"/>
      <c r="EM13" s="2" t="n"/>
      <c r="EN13" s="2" t="n"/>
      <c r="EO13" s="2" t="n"/>
      <c r="EP13" s="2" t="n"/>
      <c r="EQ13" s="65" t="n"/>
    </row>
    <row r="14" customFormat="1" s="15">
      <c r="A14" s="14" t="inlineStr">
        <is>
          <t>Labor</t>
        </is>
      </c>
      <c r="B14" s="18">
        <f>TEXT($C$7,"yyyy-mm-dd")&amp;"Separate123"&amp;IF($D$7="","XYZ",$D$7)&amp;"Separate123"&amp;"Row"&amp;ROW()</f>
        <v/>
      </c>
      <c r="C14" s="1" t="n"/>
      <c r="D14" s="1" t="n"/>
      <c r="E14" s="28">
        <f>IF(AND(F14="",G14=""),"",IF(F14="",0,F14)+IF(G14="",0,G14))</f>
        <v/>
      </c>
      <c r="F14" s="28">
        <f>IF(SUMIF($Q$11:$EQ$11,"R",Q14:EQ14)=0,"",SUMIF($Q$11:$EQ$11,"R",Q14:EQ14))</f>
        <v/>
      </c>
      <c r="G14" s="28">
        <f>IF(SUMIF($Q$11:$EQ$11,"DT",Q14:EQ14)=0,"",SUMIF($Q$11:$EQ$11,"DT",Q14:EQ14))</f>
        <v/>
      </c>
      <c r="H14" s="64" t="n"/>
      <c r="I14" s="64" t="n"/>
      <c r="J14" s="64" t="n"/>
      <c r="K14" s="67" t="n"/>
      <c r="L14" s="67" t="n"/>
      <c r="M14" s="69" t="n"/>
      <c r="N14" s="70" t="n"/>
      <c r="O14" s="72" t="n"/>
      <c r="P14" s="72" t="n"/>
      <c r="Q14" s="5" t="n"/>
      <c r="R14" s="2" t="n"/>
      <c r="S14" s="2" t="n"/>
      <c r="T14" s="2" t="n"/>
      <c r="U14" s="65" t="n"/>
      <c r="V14" s="58" t="n"/>
      <c r="W14" s="2" t="n"/>
      <c r="X14" s="2" t="n"/>
      <c r="Y14" s="2" t="n"/>
      <c r="Z14" s="2" t="n"/>
      <c r="AA14" s="65" t="n"/>
      <c r="AB14" s="58" t="n"/>
      <c r="AC14" s="2" t="n"/>
      <c r="AD14" s="2" t="n"/>
      <c r="AE14" s="2" t="n"/>
      <c r="AF14" s="2" t="n"/>
      <c r="AG14" s="65" t="n"/>
      <c r="AH14" s="58" t="n"/>
      <c r="AI14" s="2" t="n"/>
      <c r="AJ14" s="2" t="n"/>
      <c r="AK14" s="2" t="n"/>
      <c r="AL14" s="2" t="n"/>
      <c r="AM14" s="65" t="n"/>
      <c r="AN14" s="58" t="n"/>
      <c r="AO14" s="2" t="n"/>
      <c r="AP14" s="2" t="n"/>
      <c r="AQ14" s="2" t="n"/>
      <c r="AR14" s="2" t="n"/>
      <c r="AS14" s="65" t="n"/>
      <c r="AT14" s="58" t="n"/>
      <c r="AU14" s="2" t="n"/>
      <c r="AV14" s="2" t="n"/>
      <c r="AW14" s="2" t="n"/>
      <c r="AX14" s="2" t="n"/>
      <c r="AY14" s="65" t="n"/>
      <c r="AZ14" s="58" t="n"/>
      <c r="BA14" s="2" t="n"/>
      <c r="BB14" s="2" t="n"/>
      <c r="BC14" s="2" t="n"/>
      <c r="BD14" s="2" t="n"/>
      <c r="BE14" s="65" t="n"/>
      <c r="BF14" s="58" t="n"/>
      <c r="BG14" s="2" t="n"/>
      <c r="BH14" s="2" t="n"/>
      <c r="BI14" s="2" t="n"/>
      <c r="BJ14" s="2" t="n"/>
      <c r="BK14" s="65" t="n"/>
      <c r="BL14" s="58" t="n"/>
      <c r="BM14" s="2" t="n"/>
      <c r="BN14" s="2" t="n"/>
      <c r="BO14" s="2" t="n"/>
      <c r="BP14" s="2" t="n"/>
      <c r="BQ14" s="65" t="n"/>
      <c r="BR14" s="58" t="n"/>
      <c r="BS14" s="2" t="n"/>
      <c r="BT14" s="2" t="n"/>
      <c r="BU14" s="2" t="n"/>
      <c r="BV14" s="2" t="n"/>
      <c r="BW14" s="65" t="n"/>
      <c r="BX14" s="58" t="n"/>
      <c r="BY14" s="2" t="n"/>
      <c r="BZ14" s="2" t="n"/>
      <c r="CA14" s="2" t="n"/>
      <c r="CB14" s="2" t="n"/>
      <c r="CC14" s="65" t="n"/>
      <c r="CD14" s="58" t="n"/>
      <c r="CE14" s="2" t="n"/>
      <c r="CF14" s="2" t="n"/>
      <c r="CG14" s="2" t="n"/>
      <c r="CH14" s="2" t="n"/>
      <c r="CI14" s="65" t="n"/>
      <c r="CJ14" s="58" t="n"/>
      <c r="CK14" s="2" t="n"/>
      <c r="CL14" s="2" t="n"/>
      <c r="CM14" s="2" t="n"/>
      <c r="CN14" s="2" t="n"/>
      <c r="CO14" s="65" t="n"/>
      <c r="CP14" s="58" t="n"/>
      <c r="CQ14" s="2" t="n"/>
      <c r="CR14" s="2" t="n"/>
      <c r="CS14" s="2" t="n"/>
      <c r="CT14" s="2" t="n"/>
      <c r="CU14" s="65" t="n"/>
      <c r="CV14" s="58" t="n"/>
      <c r="CW14" s="2" t="n"/>
      <c r="CX14" s="2" t="n"/>
      <c r="CY14" s="2" t="n"/>
      <c r="CZ14" s="2" t="n"/>
      <c r="DA14" s="65" t="n"/>
      <c r="DB14" s="58" t="n"/>
      <c r="DC14" s="2" t="n"/>
      <c r="DD14" s="2" t="n"/>
      <c r="DE14" s="2" t="n"/>
      <c r="DF14" s="2" t="n"/>
      <c r="DG14" s="65" t="n"/>
      <c r="DH14" s="58" t="n"/>
      <c r="DI14" s="2" t="n"/>
      <c r="DJ14" s="2" t="n"/>
      <c r="DK14" s="2" t="n"/>
      <c r="DL14" s="2" t="n"/>
      <c r="DM14" s="65" t="n"/>
      <c r="DN14" s="58" t="n"/>
      <c r="DO14" s="2" t="n"/>
      <c r="DP14" s="2" t="n"/>
      <c r="DQ14" s="2" t="n"/>
      <c r="DR14" s="2" t="n"/>
      <c r="DS14" s="65" t="n"/>
      <c r="DT14" s="58" t="n"/>
      <c r="DU14" s="2" t="n"/>
      <c r="DV14" s="2" t="n"/>
      <c r="DW14" s="2" t="n"/>
      <c r="DX14" s="2" t="n"/>
      <c r="DY14" s="65" t="n"/>
      <c r="DZ14" s="58" t="n"/>
      <c r="EA14" s="2" t="n"/>
      <c r="EB14" s="2" t="n"/>
      <c r="EC14" s="2" t="n"/>
      <c r="ED14" s="2" t="n"/>
      <c r="EE14" s="65" t="n"/>
      <c r="EF14" s="58" t="n"/>
      <c r="EG14" s="2" t="n"/>
      <c r="EH14" s="2" t="n"/>
      <c r="EI14" s="2" t="n"/>
      <c r="EJ14" s="2" t="n"/>
      <c r="EK14" s="65" t="n"/>
      <c r="EL14" s="58" t="n"/>
      <c r="EM14" s="2" t="n"/>
      <c r="EN14" s="2" t="n"/>
      <c r="EO14" s="2" t="n"/>
      <c r="EP14" s="2" t="n"/>
      <c r="EQ14" s="65" t="n"/>
    </row>
    <row r="15" customFormat="1" s="15">
      <c r="A15" s="14" t="inlineStr">
        <is>
          <t>Labor</t>
        </is>
      </c>
      <c r="B15" s="18">
        <f>TEXT($C$7,"yyyy-mm-dd")&amp;"Separate123"&amp;IF($D$7="","XYZ",$D$7)&amp;"Separate123"&amp;"Row"&amp;ROW()</f>
        <v/>
      </c>
      <c r="C15" s="1" t="n"/>
      <c r="D15" s="1" t="n"/>
      <c r="E15" s="28">
        <f>IF(AND(F15="",G15=""),"",IF(F15="",0,F15)+IF(G15="",0,G15))</f>
        <v/>
      </c>
      <c r="F15" s="28">
        <f>IF(SUMIF($Q$11:$EQ$11,"R",Q15:EQ15)=0,"",SUMIF($Q$11:$EQ$11,"R",Q15:EQ15))</f>
        <v/>
      </c>
      <c r="G15" s="28">
        <f>IF(SUMIF($Q$11:$EQ$11,"DT",Q15:EQ15)=0,"",SUMIF($Q$11:$EQ$11,"DT",Q15:EQ15))</f>
        <v/>
      </c>
      <c r="H15" s="64" t="n"/>
      <c r="I15" s="64" t="n"/>
      <c r="J15" s="64" t="n"/>
      <c r="K15" s="67" t="n"/>
      <c r="L15" s="67" t="n"/>
      <c r="M15" s="69" t="n"/>
      <c r="N15" s="70" t="n"/>
      <c r="O15" s="72" t="n"/>
      <c r="P15" s="72" t="n"/>
      <c r="Q15" s="5" t="n"/>
      <c r="R15" s="2" t="n"/>
      <c r="S15" s="2" t="n"/>
      <c r="T15" s="2" t="n"/>
      <c r="U15" s="65" t="n"/>
      <c r="V15" s="58" t="n"/>
      <c r="W15" s="2" t="n"/>
      <c r="X15" s="2" t="n"/>
      <c r="Y15" s="2" t="n"/>
      <c r="Z15" s="2" t="n"/>
      <c r="AA15" s="65" t="n"/>
      <c r="AB15" s="58" t="n"/>
      <c r="AC15" s="2" t="n"/>
      <c r="AD15" s="2" t="n"/>
      <c r="AE15" s="2" t="n"/>
      <c r="AF15" s="2" t="n"/>
      <c r="AG15" s="65" t="n"/>
      <c r="AH15" s="58" t="n"/>
      <c r="AI15" s="2" t="n"/>
      <c r="AJ15" s="2" t="n"/>
      <c r="AK15" s="2" t="n"/>
      <c r="AL15" s="2" t="n"/>
      <c r="AM15" s="65" t="n"/>
      <c r="AN15" s="58" t="n"/>
      <c r="AO15" s="2" t="n"/>
      <c r="AP15" s="2" t="n"/>
      <c r="AQ15" s="2" t="n"/>
      <c r="AR15" s="2" t="n"/>
      <c r="AS15" s="65" t="n"/>
      <c r="AT15" s="58" t="n"/>
      <c r="AU15" s="2" t="n"/>
      <c r="AV15" s="2" t="n"/>
      <c r="AW15" s="2" t="n"/>
      <c r="AX15" s="2" t="n"/>
      <c r="AY15" s="65" t="n"/>
      <c r="AZ15" s="58" t="n"/>
      <c r="BA15" s="2" t="n"/>
      <c r="BB15" s="2" t="n"/>
      <c r="BC15" s="2" t="n"/>
      <c r="BD15" s="2" t="n"/>
      <c r="BE15" s="65" t="n"/>
      <c r="BF15" s="58" t="n"/>
      <c r="BG15" s="2" t="n"/>
      <c r="BH15" s="2" t="n"/>
      <c r="BI15" s="2" t="n"/>
      <c r="BJ15" s="2" t="n"/>
      <c r="BK15" s="65" t="n"/>
      <c r="BL15" s="58" t="n"/>
      <c r="BM15" s="2" t="n"/>
      <c r="BN15" s="2" t="n"/>
      <c r="BO15" s="2" t="n"/>
      <c r="BP15" s="2" t="n"/>
      <c r="BQ15" s="65" t="n"/>
      <c r="BR15" s="58" t="n"/>
      <c r="BS15" s="2" t="n"/>
      <c r="BT15" s="2" t="n"/>
      <c r="BU15" s="2" t="n"/>
      <c r="BV15" s="2" t="n"/>
      <c r="BW15" s="65" t="n"/>
      <c r="BX15" s="58" t="n"/>
      <c r="BY15" s="2" t="n"/>
      <c r="BZ15" s="2" t="n"/>
      <c r="CA15" s="2" t="n"/>
      <c r="CB15" s="2" t="n"/>
      <c r="CC15" s="65" t="n"/>
      <c r="CD15" s="58" t="n"/>
      <c r="CE15" s="2" t="n"/>
      <c r="CF15" s="2" t="n"/>
      <c r="CG15" s="2" t="n"/>
      <c r="CH15" s="2" t="n"/>
      <c r="CI15" s="65" t="n"/>
      <c r="CJ15" s="58" t="n"/>
      <c r="CK15" s="2" t="n"/>
      <c r="CL15" s="2" t="n"/>
      <c r="CM15" s="2" t="n"/>
      <c r="CN15" s="2" t="n"/>
      <c r="CO15" s="65" t="n"/>
      <c r="CP15" s="58" t="n"/>
      <c r="CQ15" s="2" t="n"/>
      <c r="CR15" s="2" t="n"/>
      <c r="CS15" s="2" t="n"/>
      <c r="CT15" s="2" t="n"/>
      <c r="CU15" s="65" t="n"/>
      <c r="CV15" s="58" t="n"/>
      <c r="CW15" s="2" t="n"/>
      <c r="CX15" s="2" t="n"/>
      <c r="CY15" s="2" t="n"/>
      <c r="CZ15" s="2" t="n"/>
      <c r="DA15" s="65" t="n"/>
      <c r="DB15" s="58" t="n"/>
      <c r="DC15" s="2" t="n"/>
      <c r="DD15" s="2" t="n"/>
      <c r="DE15" s="2" t="n"/>
      <c r="DF15" s="2" t="n"/>
      <c r="DG15" s="65" t="n"/>
      <c r="DH15" s="58" t="n"/>
      <c r="DI15" s="2" t="n"/>
      <c r="DJ15" s="2" t="n"/>
      <c r="DK15" s="2" t="n"/>
      <c r="DL15" s="2" t="n"/>
      <c r="DM15" s="65" t="n"/>
      <c r="DN15" s="58" t="n"/>
      <c r="DO15" s="2" t="n"/>
      <c r="DP15" s="2" t="n"/>
      <c r="DQ15" s="2" t="n"/>
      <c r="DR15" s="2" t="n"/>
      <c r="DS15" s="65" t="n"/>
      <c r="DT15" s="58" t="n"/>
      <c r="DU15" s="2" t="n"/>
      <c r="DV15" s="2" t="n"/>
      <c r="DW15" s="2" t="n"/>
      <c r="DX15" s="2" t="n"/>
      <c r="DY15" s="65" t="n"/>
      <c r="DZ15" s="58" t="n"/>
      <c r="EA15" s="2" t="n"/>
      <c r="EB15" s="2" t="n"/>
      <c r="EC15" s="2" t="n"/>
      <c r="ED15" s="2" t="n"/>
      <c r="EE15" s="65" t="n"/>
      <c r="EF15" s="58" t="n"/>
      <c r="EG15" s="2" t="n"/>
      <c r="EH15" s="2" t="n"/>
      <c r="EI15" s="2" t="n"/>
      <c r="EJ15" s="2" t="n"/>
      <c r="EK15" s="65" t="n"/>
      <c r="EL15" s="58" t="n"/>
      <c r="EM15" s="2" t="n"/>
      <c r="EN15" s="2" t="n"/>
      <c r="EO15" s="2" t="n"/>
      <c r="EP15" s="2" t="n"/>
      <c r="EQ15" s="65" t="n"/>
    </row>
    <row r="16" customFormat="1" s="15">
      <c r="A16" s="14" t="inlineStr">
        <is>
          <t>Labor</t>
        </is>
      </c>
      <c r="B16" s="18">
        <f>TEXT($C$7,"yyyy-mm-dd")&amp;"Separate123"&amp;IF($D$7="","XYZ",$D$7)&amp;"Separate123"&amp;"Row"&amp;ROW()</f>
        <v/>
      </c>
      <c r="C16" s="1" t="n"/>
      <c r="D16" s="1" t="n"/>
      <c r="E16" s="28">
        <f>IF(AND(F16="",G16=""),"",IF(F16="",0,F16)+IF(G16="",0,G16))</f>
        <v/>
      </c>
      <c r="F16" s="28">
        <f>IF(SUMIF($Q$11:$EQ$11,"R",Q16:EQ16)=0,"",SUMIF($Q$11:$EQ$11,"R",Q16:EQ16))</f>
        <v/>
      </c>
      <c r="G16" s="28">
        <f>IF(SUMIF($Q$11:$EQ$11,"DT",Q16:EQ16)=0,"",SUMIF($Q$11:$EQ$11,"DT",Q16:EQ16))</f>
        <v/>
      </c>
      <c r="H16" s="64" t="n"/>
      <c r="I16" s="64" t="n"/>
      <c r="J16" s="64" t="n"/>
      <c r="K16" s="67" t="n"/>
      <c r="L16" s="67" t="n"/>
      <c r="M16" s="69" t="n"/>
      <c r="N16" s="70" t="n"/>
      <c r="O16" s="72" t="n"/>
      <c r="P16" s="72" t="n"/>
      <c r="Q16" s="5" t="n"/>
      <c r="R16" s="2" t="n"/>
      <c r="S16" s="2" t="n"/>
      <c r="T16" s="2" t="n"/>
      <c r="U16" s="65" t="n"/>
      <c r="V16" s="58" t="n"/>
      <c r="W16" s="2" t="n"/>
      <c r="X16" s="2" t="n"/>
      <c r="Y16" s="2" t="n"/>
      <c r="Z16" s="2" t="n"/>
      <c r="AA16" s="65" t="n"/>
      <c r="AB16" s="58" t="n"/>
      <c r="AC16" s="2" t="n"/>
      <c r="AD16" s="2" t="n"/>
      <c r="AE16" s="2" t="n"/>
      <c r="AF16" s="2" t="n"/>
      <c r="AG16" s="65" t="n"/>
      <c r="AH16" s="58" t="n"/>
      <c r="AI16" s="2" t="n"/>
      <c r="AJ16" s="2" t="n"/>
      <c r="AK16" s="2" t="n"/>
      <c r="AL16" s="2" t="n"/>
      <c r="AM16" s="65" t="n"/>
      <c r="AN16" s="58" t="n"/>
      <c r="AO16" s="2" t="n"/>
      <c r="AP16" s="2" t="n"/>
      <c r="AQ16" s="2" t="n"/>
      <c r="AR16" s="2" t="n"/>
      <c r="AS16" s="65" t="n"/>
      <c r="AT16" s="58" t="n"/>
      <c r="AU16" s="2" t="n"/>
      <c r="AV16" s="2" t="n"/>
      <c r="AW16" s="2" t="n"/>
      <c r="AX16" s="2" t="n"/>
      <c r="AY16" s="65" t="n"/>
      <c r="AZ16" s="58" t="n"/>
      <c r="BA16" s="2" t="n"/>
      <c r="BB16" s="2" t="n"/>
      <c r="BC16" s="2" t="n"/>
      <c r="BD16" s="2" t="n"/>
      <c r="BE16" s="65" t="n"/>
      <c r="BF16" s="58" t="n"/>
      <c r="BG16" s="2" t="n"/>
      <c r="BH16" s="2" t="n"/>
      <c r="BI16" s="2" t="n"/>
      <c r="BJ16" s="2" t="n"/>
      <c r="BK16" s="65" t="n"/>
      <c r="BL16" s="58" t="n"/>
      <c r="BM16" s="2" t="n"/>
      <c r="BN16" s="2" t="n"/>
      <c r="BO16" s="2" t="n"/>
      <c r="BP16" s="2" t="n"/>
      <c r="BQ16" s="65" t="n"/>
      <c r="BR16" s="58" t="n"/>
      <c r="BS16" s="2" t="n"/>
      <c r="BT16" s="2" t="n"/>
      <c r="BU16" s="2" t="n"/>
      <c r="BV16" s="2" t="n"/>
      <c r="BW16" s="65" t="n"/>
      <c r="BX16" s="58" t="n"/>
      <c r="BY16" s="2" t="n"/>
      <c r="BZ16" s="2" t="n"/>
      <c r="CA16" s="2" t="n"/>
      <c r="CB16" s="2" t="n"/>
      <c r="CC16" s="65" t="n"/>
      <c r="CD16" s="58" t="n"/>
      <c r="CE16" s="2" t="n"/>
      <c r="CF16" s="2" t="n"/>
      <c r="CG16" s="2" t="n"/>
      <c r="CH16" s="2" t="n"/>
      <c r="CI16" s="65" t="n"/>
      <c r="CJ16" s="58" t="n"/>
      <c r="CK16" s="2" t="n"/>
      <c r="CL16" s="2" t="n"/>
      <c r="CM16" s="2" t="n"/>
      <c r="CN16" s="2" t="n"/>
      <c r="CO16" s="65" t="n"/>
      <c r="CP16" s="58" t="n"/>
      <c r="CQ16" s="2" t="n"/>
      <c r="CR16" s="2" t="n"/>
      <c r="CS16" s="2" t="n"/>
      <c r="CT16" s="2" t="n"/>
      <c r="CU16" s="65" t="n"/>
      <c r="CV16" s="58" t="n"/>
      <c r="CW16" s="2" t="n"/>
      <c r="CX16" s="2" t="n"/>
      <c r="CY16" s="2" t="n"/>
      <c r="CZ16" s="2" t="n"/>
      <c r="DA16" s="65" t="n"/>
      <c r="DB16" s="58" t="n"/>
      <c r="DC16" s="2" t="n"/>
      <c r="DD16" s="2" t="n"/>
      <c r="DE16" s="2" t="n"/>
      <c r="DF16" s="2" t="n"/>
      <c r="DG16" s="65" t="n"/>
      <c r="DH16" s="58" t="n"/>
      <c r="DI16" s="2" t="n"/>
      <c r="DJ16" s="2" t="n"/>
      <c r="DK16" s="2" t="n"/>
      <c r="DL16" s="2" t="n"/>
      <c r="DM16" s="65" t="n"/>
      <c r="DN16" s="58" t="n"/>
      <c r="DO16" s="2" t="n"/>
      <c r="DP16" s="2" t="n"/>
      <c r="DQ16" s="2" t="n"/>
      <c r="DR16" s="2" t="n"/>
      <c r="DS16" s="65" t="n"/>
      <c r="DT16" s="58" t="n"/>
      <c r="DU16" s="2" t="n"/>
      <c r="DV16" s="2" t="n"/>
      <c r="DW16" s="2" t="n"/>
      <c r="DX16" s="2" t="n"/>
      <c r="DY16" s="65" t="n"/>
      <c r="DZ16" s="58" t="n"/>
      <c r="EA16" s="2" t="n"/>
      <c r="EB16" s="2" t="n"/>
      <c r="EC16" s="2" t="n"/>
      <c r="ED16" s="2" t="n"/>
      <c r="EE16" s="65" t="n"/>
      <c r="EF16" s="58" t="n"/>
      <c r="EG16" s="2" t="n"/>
      <c r="EH16" s="2" t="n"/>
      <c r="EI16" s="2" t="n"/>
      <c r="EJ16" s="2" t="n"/>
      <c r="EK16" s="65" t="n"/>
      <c r="EL16" s="58" t="n"/>
      <c r="EM16" s="2" t="n"/>
      <c r="EN16" s="2" t="n"/>
      <c r="EO16" s="2" t="n"/>
      <c r="EP16" s="2" t="n"/>
      <c r="EQ16" s="65" t="n"/>
    </row>
    <row r="17" customFormat="1" s="15">
      <c r="A17" s="14" t="inlineStr">
        <is>
          <t>Labor</t>
        </is>
      </c>
      <c r="B17" s="18">
        <f>TEXT($C$7,"yyyy-mm-dd")&amp;"Separate123"&amp;IF($D$7="","XYZ",$D$7)&amp;"Separate123"&amp;"Row"&amp;ROW()</f>
        <v/>
      </c>
      <c r="C17" s="1" t="n"/>
      <c r="D17" s="1" t="n"/>
      <c r="E17" s="28">
        <f>IF(AND(F17="",G17=""),"",IF(F17="",0,F17)+IF(G17="",0,G17))</f>
        <v/>
      </c>
      <c r="F17" s="28">
        <f>IF(SUMIF($Q$11:$EQ$11,"R",Q17:EQ17)=0,"",SUMIF($Q$11:$EQ$11,"R",Q17:EQ17))</f>
        <v/>
      </c>
      <c r="G17" s="28">
        <f>IF(SUMIF($Q$11:$EQ$11,"DT",Q17:EQ17)=0,"",SUMIF($Q$11:$EQ$11,"DT",Q17:EQ17))</f>
        <v/>
      </c>
      <c r="H17" s="64" t="n"/>
      <c r="I17" s="64" t="n"/>
      <c r="J17" s="64" t="n"/>
      <c r="K17" s="67" t="n"/>
      <c r="L17" s="67" t="n"/>
      <c r="M17" s="69" t="n"/>
      <c r="N17" s="70" t="n"/>
      <c r="O17" s="72" t="n"/>
      <c r="P17" s="72" t="n"/>
      <c r="Q17" s="5" t="n"/>
      <c r="R17" s="2" t="n"/>
      <c r="S17" s="2" t="n"/>
      <c r="T17" s="2" t="n"/>
      <c r="U17" s="65" t="n"/>
      <c r="V17" s="58" t="n"/>
      <c r="W17" s="2" t="n"/>
      <c r="X17" s="2" t="n"/>
      <c r="Y17" s="2" t="n"/>
      <c r="Z17" s="2" t="n"/>
      <c r="AA17" s="65" t="n"/>
      <c r="AB17" s="58" t="n"/>
      <c r="AC17" s="2" t="n"/>
      <c r="AD17" s="2" t="n"/>
      <c r="AE17" s="2" t="n"/>
      <c r="AF17" s="2" t="n"/>
      <c r="AG17" s="65" t="n"/>
      <c r="AH17" s="58" t="n"/>
      <c r="AI17" s="2" t="n"/>
      <c r="AJ17" s="2" t="n"/>
      <c r="AK17" s="2" t="n"/>
      <c r="AL17" s="2" t="n"/>
      <c r="AM17" s="65" t="n"/>
      <c r="AN17" s="58" t="n"/>
      <c r="AO17" s="2" t="n"/>
      <c r="AP17" s="2" t="n"/>
      <c r="AQ17" s="2" t="n"/>
      <c r="AR17" s="2" t="n"/>
      <c r="AS17" s="65" t="n"/>
      <c r="AT17" s="58" t="n"/>
      <c r="AU17" s="2" t="n"/>
      <c r="AV17" s="2" t="n"/>
      <c r="AW17" s="2" t="n"/>
      <c r="AX17" s="2" t="n"/>
      <c r="AY17" s="65" t="n"/>
      <c r="AZ17" s="58" t="n"/>
      <c r="BA17" s="2" t="n"/>
      <c r="BB17" s="2" t="n"/>
      <c r="BC17" s="2" t="n"/>
      <c r="BD17" s="2" t="n"/>
      <c r="BE17" s="65" t="n"/>
      <c r="BF17" s="58" t="n"/>
      <c r="BG17" s="2" t="n"/>
      <c r="BH17" s="2" t="n"/>
      <c r="BI17" s="2" t="n"/>
      <c r="BJ17" s="2" t="n"/>
      <c r="BK17" s="65" t="n"/>
      <c r="BL17" s="58" t="n"/>
      <c r="BM17" s="2" t="n"/>
      <c r="BN17" s="2" t="n"/>
      <c r="BO17" s="2" t="n"/>
      <c r="BP17" s="2" t="n"/>
      <c r="BQ17" s="65" t="n"/>
      <c r="BR17" s="58" t="n"/>
      <c r="BS17" s="2" t="n"/>
      <c r="BT17" s="2" t="n"/>
      <c r="BU17" s="2" t="n"/>
      <c r="BV17" s="2" t="n"/>
      <c r="BW17" s="65" t="n"/>
      <c r="BX17" s="58" t="n"/>
      <c r="BY17" s="2" t="n"/>
      <c r="BZ17" s="2" t="n"/>
      <c r="CA17" s="2" t="n"/>
      <c r="CB17" s="2" t="n"/>
      <c r="CC17" s="65" t="n"/>
      <c r="CD17" s="58" t="n"/>
      <c r="CE17" s="2" t="n"/>
      <c r="CF17" s="2" t="n"/>
      <c r="CG17" s="2" t="n"/>
      <c r="CH17" s="2" t="n"/>
      <c r="CI17" s="65" t="n"/>
      <c r="CJ17" s="58" t="n"/>
      <c r="CK17" s="2" t="n"/>
      <c r="CL17" s="2" t="n"/>
      <c r="CM17" s="2" t="n"/>
      <c r="CN17" s="2" t="n"/>
      <c r="CO17" s="65" t="n"/>
      <c r="CP17" s="58" t="n"/>
      <c r="CQ17" s="2" t="n"/>
      <c r="CR17" s="2" t="n"/>
      <c r="CS17" s="2" t="n"/>
      <c r="CT17" s="2" t="n"/>
      <c r="CU17" s="65" t="n"/>
      <c r="CV17" s="58" t="n"/>
      <c r="CW17" s="2" t="n"/>
      <c r="CX17" s="2" t="n"/>
      <c r="CY17" s="2" t="n"/>
      <c r="CZ17" s="2" t="n"/>
      <c r="DA17" s="65" t="n"/>
      <c r="DB17" s="58" t="n"/>
      <c r="DC17" s="2" t="n"/>
      <c r="DD17" s="2" t="n"/>
      <c r="DE17" s="2" t="n"/>
      <c r="DF17" s="2" t="n"/>
      <c r="DG17" s="65" t="n"/>
      <c r="DH17" s="58" t="n"/>
      <c r="DI17" s="2" t="n"/>
      <c r="DJ17" s="2" t="n"/>
      <c r="DK17" s="2" t="n"/>
      <c r="DL17" s="2" t="n"/>
      <c r="DM17" s="65" t="n"/>
      <c r="DN17" s="58" t="n"/>
      <c r="DO17" s="2" t="n"/>
      <c r="DP17" s="2" t="n"/>
      <c r="DQ17" s="2" t="n"/>
      <c r="DR17" s="2" t="n"/>
      <c r="DS17" s="65" t="n"/>
      <c r="DT17" s="58" t="n"/>
      <c r="DU17" s="2" t="n"/>
      <c r="DV17" s="2" t="n"/>
      <c r="DW17" s="2" t="n"/>
      <c r="DX17" s="2" t="n"/>
      <c r="DY17" s="65" t="n"/>
      <c r="DZ17" s="58" t="n"/>
      <c r="EA17" s="2" t="n"/>
      <c r="EB17" s="2" t="n"/>
      <c r="EC17" s="2" t="n"/>
      <c r="ED17" s="2" t="n"/>
      <c r="EE17" s="65" t="n"/>
      <c r="EF17" s="58" t="n"/>
      <c r="EG17" s="2" t="n"/>
      <c r="EH17" s="2" t="n"/>
      <c r="EI17" s="2" t="n"/>
      <c r="EJ17" s="2" t="n"/>
      <c r="EK17" s="65" t="n"/>
      <c r="EL17" s="58" t="n"/>
      <c r="EM17" s="2" t="n"/>
      <c r="EN17" s="2" t="n"/>
      <c r="EO17" s="2" t="n"/>
      <c r="EP17" s="2" t="n"/>
      <c r="EQ17" s="65" t="n"/>
    </row>
    <row r="18" customFormat="1" s="15">
      <c r="A18" s="14" t="inlineStr">
        <is>
          <t>Labor</t>
        </is>
      </c>
      <c r="B18" s="18">
        <f>TEXT($C$7,"yyyy-mm-dd")&amp;"Separate123"&amp;IF($D$7="","XYZ",$D$7)&amp;"Separate123"&amp;"Row"&amp;ROW()</f>
        <v/>
      </c>
      <c r="C18" s="1" t="n"/>
      <c r="D18" s="1" t="n"/>
      <c r="E18" s="28">
        <f>IF(AND(F18="",G18=""),"",IF(F18="",0,F18)+IF(G18="",0,G18))</f>
        <v/>
      </c>
      <c r="F18" s="28">
        <f>IF(SUMIF($Q$11:$EQ$11,"R",Q18:EQ18)=0,"",SUMIF($Q$11:$EQ$11,"R",Q18:EQ18))</f>
        <v/>
      </c>
      <c r="G18" s="28">
        <f>IF(SUMIF($Q$11:$EQ$11,"DT",Q18:EQ18)=0,"",SUMIF($Q$11:$EQ$11,"DT",Q18:EQ18))</f>
        <v/>
      </c>
      <c r="H18" s="64" t="n"/>
      <c r="I18" s="64" t="n"/>
      <c r="J18" s="64" t="n"/>
      <c r="K18" s="67" t="n"/>
      <c r="L18" s="67" t="n"/>
      <c r="M18" s="69" t="n"/>
      <c r="N18" s="70" t="n"/>
      <c r="O18" s="72" t="n"/>
      <c r="P18" s="72" t="n"/>
      <c r="Q18" s="5" t="n"/>
      <c r="R18" s="2" t="n"/>
      <c r="S18" s="2" t="n"/>
      <c r="T18" s="2" t="n"/>
      <c r="U18" s="65" t="n"/>
      <c r="V18" s="58" t="n"/>
      <c r="W18" s="2" t="n"/>
      <c r="X18" s="2" t="n"/>
      <c r="Y18" s="2" t="n"/>
      <c r="Z18" s="2" t="n"/>
      <c r="AA18" s="65" t="n"/>
      <c r="AB18" s="58" t="n"/>
      <c r="AC18" s="2" t="n"/>
      <c r="AD18" s="2" t="n"/>
      <c r="AE18" s="2" t="n"/>
      <c r="AF18" s="2" t="n"/>
      <c r="AG18" s="65" t="n"/>
      <c r="AH18" s="58" t="n"/>
      <c r="AI18" s="2" t="n"/>
      <c r="AJ18" s="2" t="n"/>
      <c r="AK18" s="2" t="n"/>
      <c r="AL18" s="2" t="n"/>
      <c r="AM18" s="65" t="n"/>
      <c r="AN18" s="58" t="n"/>
      <c r="AO18" s="2" t="n"/>
      <c r="AP18" s="2" t="n"/>
      <c r="AQ18" s="2" t="n"/>
      <c r="AR18" s="2" t="n"/>
      <c r="AS18" s="65" t="n"/>
      <c r="AT18" s="58" t="n"/>
      <c r="AU18" s="2" t="n"/>
      <c r="AV18" s="2" t="n"/>
      <c r="AW18" s="2" t="n"/>
      <c r="AX18" s="2" t="n"/>
      <c r="AY18" s="65" t="n"/>
      <c r="AZ18" s="58" t="n"/>
      <c r="BA18" s="2" t="n"/>
      <c r="BB18" s="2" t="n"/>
      <c r="BC18" s="2" t="n"/>
      <c r="BD18" s="2" t="n"/>
      <c r="BE18" s="65" t="n"/>
      <c r="BF18" s="58" t="n"/>
      <c r="BG18" s="2" t="n"/>
      <c r="BH18" s="2" t="n"/>
      <c r="BI18" s="2" t="n"/>
      <c r="BJ18" s="2" t="n"/>
      <c r="BK18" s="65" t="n"/>
      <c r="BL18" s="58" t="n"/>
      <c r="BM18" s="2" t="n"/>
      <c r="BN18" s="2" t="n"/>
      <c r="BO18" s="2" t="n"/>
      <c r="BP18" s="2" t="n"/>
      <c r="BQ18" s="65" t="n"/>
      <c r="BR18" s="58" t="n"/>
      <c r="BS18" s="2" t="n"/>
      <c r="BT18" s="2" t="n"/>
      <c r="BU18" s="2" t="n"/>
      <c r="BV18" s="2" t="n"/>
      <c r="BW18" s="65" t="n"/>
      <c r="BX18" s="58" t="n"/>
      <c r="BY18" s="2" t="n"/>
      <c r="BZ18" s="2" t="n"/>
      <c r="CA18" s="2" t="n"/>
      <c r="CB18" s="2" t="n"/>
      <c r="CC18" s="65" t="n"/>
      <c r="CD18" s="58" t="n"/>
      <c r="CE18" s="2" t="n"/>
      <c r="CF18" s="2" t="n"/>
      <c r="CG18" s="2" t="n"/>
      <c r="CH18" s="2" t="n"/>
      <c r="CI18" s="65" t="n"/>
      <c r="CJ18" s="58" t="n"/>
      <c r="CK18" s="2" t="n"/>
      <c r="CL18" s="2" t="n"/>
      <c r="CM18" s="2" t="n"/>
      <c r="CN18" s="2" t="n"/>
      <c r="CO18" s="65" t="n"/>
      <c r="CP18" s="58" t="n"/>
      <c r="CQ18" s="2" t="n"/>
      <c r="CR18" s="2" t="n"/>
      <c r="CS18" s="2" t="n"/>
      <c r="CT18" s="2" t="n"/>
      <c r="CU18" s="65" t="n"/>
      <c r="CV18" s="58" t="n"/>
      <c r="CW18" s="2" t="n"/>
      <c r="CX18" s="2" t="n"/>
      <c r="CY18" s="2" t="n"/>
      <c r="CZ18" s="2" t="n"/>
      <c r="DA18" s="65" t="n"/>
      <c r="DB18" s="58" t="n"/>
      <c r="DC18" s="2" t="n"/>
      <c r="DD18" s="2" t="n"/>
      <c r="DE18" s="2" t="n"/>
      <c r="DF18" s="2" t="n"/>
      <c r="DG18" s="65" t="n"/>
      <c r="DH18" s="58" t="n"/>
      <c r="DI18" s="2" t="n"/>
      <c r="DJ18" s="2" t="n"/>
      <c r="DK18" s="2" t="n"/>
      <c r="DL18" s="2" t="n"/>
      <c r="DM18" s="65" t="n"/>
      <c r="DN18" s="58" t="n"/>
      <c r="DO18" s="2" t="n"/>
      <c r="DP18" s="2" t="n"/>
      <c r="DQ18" s="2" t="n"/>
      <c r="DR18" s="2" t="n"/>
      <c r="DS18" s="65" t="n"/>
      <c r="DT18" s="58" t="n"/>
      <c r="DU18" s="2" t="n"/>
      <c r="DV18" s="2" t="n"/>
      <c r="DW18" s="2" t="n"/>
      <c r="DX18" s="2" t="n"/>
      <c r="DY18" s="65" t="n"/>
      <c r="DZ18" s="58" t="n"/>
      <c r="EA18" s="2" t="n"/>
      <c r="EB18" s="2" t="n"/>
      <c r="EC18" s="2" t="n"/>
      <c r="ED18" s="2" t="n"/>
      <c r="EE18" s="65" t="n"/>
      <c r="EF18" s="58" t="n"/>
      <c r="EG18" s="2" t="n"/>
      <c r="EH18" s="2" t="n"/>
      <c r="EI18" s="2" t="n"/>
      <c r="EJ18" s="2" t="n"/>
      <c r="EK18" s="65" t="n"/>
      <c r="EL18" s="58" t="n"/>
      <c r="EM18" s="2" t="n"/>
      <c r="EN18" s="2" t="n"/>
      <c r="EO18" s="2" t="n"/>
      <c r="EP18" s="2" t="n"/>
      <c r="EQ18" s="65" t="n"/>
    </row>
    <row r="19" customFormat="1" s="15">
      <c r="A19" s="14" t="inlineStr">
        <is>
          <t>Labor</t>
        </is>
      </c>
      <c r="B19" s="18">
        <f>TEXT($C$7,"yyyy-mm-dd")&amp;"Separate123"&amp;IF($D$7="","XYZ",$D$7)&amp;"Separate123"&amp;"Row"&amp;ROW()</f>
        <v/>
      </c>
      <c r="C19" s="1" t="n"/>
      <c r="D19" s="1" t="n"/>
      <c r="E19" s="28">
        <f>IF(AND(F19="",G19=""),"",IF(F19="",0,F19)+IF(G19="",0,G19))</f>
        <v/>
      </c>
      <c r="F19" s="28">
        <f>IF(SUMIF($Q$11:$EQ$11,"R",Q19:EQ19)=0,"",SUMIF($Q$11:$EQ$11,"R",Q19:EQ19))</f>
        <v/>
      </c>
      <c r="G19" s="28">
        <f>IF(SUMIF($Q$11:$EQ$11,"DT",Q19:EQ19)=0,"",SUMIF($Q$11:$EQ$11,"DT",Q19:EQ19))</f>
        <v/>
      </c>
      <c r="H19" s="64" t="n"/>
      <c r="I19" s="64" t="n"/>
      <c r="J19" s="64" t="n"/>
      <c r="K19" s="67" t="n"/>
      <c r="L19" s="67" t="n"/>
      <c r="M19" s="69" t="n"/>
      <c r="N19" s="70" t="n"/>
      <c r="O19" s="72" t="n"/>
      <c r="P19" s="72" t="n"/>
      <c r="Q19" s="5" t="n"/>
      <c r="R19" s="2" t="n"/>
      <c r="S19" s="2" t="n"/>
      <c r="T19" s="2" t="n"/>
      <c r="U19" s="65" t="n"/>
      <c r="V19" s="58" t="n"/>
      <c r="W19" s="2" t="n"/>
      <c r="X19" s="2" t="n"/>
      <c r="Y19" s="2" t="n"/>
      <c r="Z19" s="2" t="n"/>
      <c r="AA19" s="65" t="n"/>
      <c r="AB19" s="58" t="n"/>
      <c r="AC19" s="2" t="n"/>
      <c r="AD19" s="2" t="n"/>
      <c r="AE19" s="2" t="n"/>
      <c r="AF19" s="2" t="n"/>
      <c r="AG19" s="65" t="n"/>
      <c r="AH19" s="58" t="n"/>
      <c r="AI19" s="2" t="n"/>
      <c r="AJ19" s="2" t="n"/>
      <c r="AK19" s="2" t="n"/>
      <c r="AL19" s="2" t="n"/>
      <c r="AM19" s="65" t="n"/>
      <c r="AN19" s="58" t="n"/>
      <c r="AO19" s="2" t="n"/>
      <c r="AP19" s="2" t="n"/>
      <c r="AQ19" s="2" t="n"/>
      <c r="AR19" s="2" t="n"/>
      <c r="AS19" s="65" t="n"/>
      <c r="AT19" s="58" t="n"/>
      <c r="AU19" s="2" t="n"/>
      <c r="AV19" s="2" t="n"/>
      <c r="AW19" s="2" t="n"/>
      <c r="AX19" s="2" t="n"/>
      <c r="AY19" s="65" t="n"/>
      <c r="AZ19" s="58" t="n"/>
      <c r="BA19" s="2" t="n"/>
      <c r="BB19" s="2" t="n"/>
      <c r="BC19" s="2" t="n"/>
      <c r="BD19" s="2" t="n"/>
      <c r="BE19" s="65" t="n"/>
      <c r="BF19" s="58" t="n"/>
      <c r="BG19" s="2" t="n"/>
      <c r="BH19" s="2" t="n"/>
      <c r="BI19" s="2" t="n"/>
      <c r="BJ19" s="2" t="n"/>
      <c r="BK19" s="65" t="n"/>
      <c r="BL19" s="58" t="n"/>
      <c r="BM19" s="2" t="n"/>
      <c r="BN19" s="2" t="n"/>
      <c r="BO19" s="2" t="n"/>
      <c r="BP19" s="2" t="n"/>
      <c r="BQ19" s="65" t="n"/>
      <c r="BR19" s="58" t="n"/>
      <c r="BS19" s="2" t="n"/>
      <c r="BT19" s="2" t="n"/>
      <c r="BU19" s="2" t="n"/>
      <c r="BV19" s="2" t="n"/>
      <c r="BW19" s="65" t="n"/>
      <c r="BX19" s="58" t="n"/>
      <c r="BY19" s="2" t="n"/>
      <c r="BZ19" s="2" t="n"/>
      <c r="CA19" s="2" t="n"/>
      <c r="CB19" s="2" t="n"/>
      <c r="CC19" s="65" t="n"/>
      <c r="CD19" s="58" t="n"/>
      <c r="CE19" s="2" t="n"/>
      <c r="CF19" s="2" t="n"/>
      <c r="CG19" s="2" t="n"/>
      <c r="CH19" s="2" t="n"/>
      <c r="CI19" s="65" t="n"/>
      <c r="CJ19" s="58" t="n"/>
      <c r="CK19" s="2" t="n"/>
      <c r="CL19" s="2" t="n"/>
      <c r="CM19" s="2" t="n"/>
      <c r="CN19" s="2" t="n"/>
      <c r="CO19" s="65" t="n"/>
      <c r="CP19" s="58" t="n"/>
      <c r="CQ19" s="2" t="n"/>
      <c r="CR19" s="2" t="n"/>
      <c r="CS19" s="2" t="n"/>
      <c r="CT19" s="2" t="n"/>
      <c r="CU19" s="65" t="n"/>
      <c r="CV19" s="58" t="n"/>
      <c r="CW19" s="2" t="n"/>
      <c r="CX19" s="2" t="n"/>
      <c r="CY19" s="2" t="n"/>
      <c r="CZ19" s="2" t="n"/>
      <c r="DA19" s="65" t="n"/>
      <c r="DB19" s="58" t="n"/>
      <c r="DC19" s="2" t="n"/>
      <c r="DD19" s="2" t="n"/>
      <c r="DE19" s="2" t="n"/>
      <c r="DF19" s="2" t="n"/>
      <c r="DG19" s="65" t="n"/>
      <c r="DH19" s="58" t="n"/>
      <c r="DI19" s="2" t="n"/>
      <c r="DJ19" s="2" t="n"/>
      <c r="DK19" s="2" t="n"/>
      <c r="DL19" s="2" t="n"/>
      <c r="DM19" s="65" t="n"/>
      <c r="DN19" s="58" t="n"/>
      <c r="DO19" s="2" t="n"/>
      <c r="DP19" s="2" t="n"/>
      <c r="DQ19" s="2" t="n"/>
      <c r="DR19" s="2" t="n"/>
      <c r="DS19" s="65" t="n"/>
      <c r="DT19" s="58" t="n"/>
      <c r="DU19" s="2" t="n"/>
      <c r="DV19" s="2" t="n"/>
      <c r="DW19" s="2" t="n"/>
      <c r="DX19" s="2" t="n"/>
      <c r="DY19" s="65" t="n"/>
      <c r="DZ19" s="58" t="n"/>
      <c r="EA19" s="2" t="n"/>
      <c r="EB19" s="2" t="n"/>
      <c r="EC19" s="2" t="n"/>
      <c r="ED19" s="2" t="n"/>
      <c r="EE19" s="65" t="n"/>
      <c r="EF19" s="58" t="n"/>
      <c r="EG19" s="2" t="n"/>
      <c r="EH19" s="2" t="n"/>
      <c r="EI19" s="2" t="n"/>
      <c r="EJ19" s="2" t="n"/>
      <c r="EK19" s="65" t="n"/>
      <c r="EL19" s="58" t="n"/>
      <c r="EM19" s="2" t="n"/>
      <c r="EN19" s="2" t="n"/>
      <c r="EO19" s="2" t="n"/>
      <c r="EP19" s="2" t="n"/>
      <c r="EQ19" s="65" t="n"/>
    </row>
    <row r="20" customFormat="1" s="15">
      <c r="A20" s="14" t="inlineStr">
        <is>
          <t>Labor</t>
        </is>
      </c>
      <c r="B20" s="18">
        <f>TEXT($C$7,"yyyy-mm-dd")&amp;"Separate123"&amp;IF($D$7="","XYZ",$D$7)&amp;"Separate123"&amp;"Row"&amp;ROW()</f>
        <v/>
      </c>
      <c r="C20" s="1" t="n"/>
      <c r="D20" s="1" t="n"/>
      <c r="E20" s="28">
        <f>IF(AND(F20="",G20=""),"",IF(F20="",0,F20)+IF(G20="",0,G20))</f>
        <v/>
      </c>
      <c r="F20" s="28">
        <f>IF(SUMIF($Q$11:$EQ$11,"R",Q20:EQ20)=0,"",SUMIF($Q$11:$EQ$11,"R",Q20:EQ20))</f>
        <v/>
      </c>
      <c r="G20" s="28">
        <f>IF(SUMIF($Q$11:$EQ$11,"DT",Q20:EQ20)=0,"",SUMIF($Q$11:$EQ$11,"DT",Q20:EQ20))</f>
        <v/>
      </c>
      <c r="H20" s="64" t="n"/>
      <c r="I20" s="64" t="n"/>
      <c r="J20" s="64" t="n"/>
      <c r="K20" s="67" t="n"/>
      <c r="L20" s="67" t="n"/>
      <c r="M20" s="69" t="n"/>
      <c r="N20" s="70" t="n"/>
      <c r="O20" s="72" t="n"/>
      <c r="P20" s="72" t="n"/>
      <c r="Q20" s="5" t="n"/>
      <c r="R20" s="2" t="n"/>
      <c r="S20" s="2" t="n"/>
      <c r="T20" s="2" t="n"/>
      <c r="U20" s="65" t="n"/>
      <c r="V20" s="58" t="n"/>
      <c r="W20" s="2" t="n"/>
      <c r="X20" s="2" t="n"/>
      <c r="Y20" s="2" t="n"/>
      <c r="Z20" s="2" t="n"/>
      <c r="AA20" s="65" t="n"/>
      <c r="AB20" s="58" t="n"/>
      <c r="AC20" s="2" t="n"/>
      <c r="AD20" s="2" t="n"/>
      <c r="AE20" s="2" t="n"/>
      <c r="AF20" s="2" t="n"/>
      <c r="AG20" s="65" t="n"/>
      <c r="AH20" s="58" t="n"/>
      <c r="AI20" s="2" t="n"/>
      <c r="AJ20" s="2" t="n"/>
      <c r="AK20" s="2" t="n"/>
      <c r="AL20" s="2" t="n"/>
      <c r="AM20" s="65" t="n"/>
      <c r="AN20" s="58" t="n"/>
      <c r="AO20" s="2" t="n"/>
      <c r="AP20" s="2" t="n"/>
      <c r="AQ20" s="2" t="n"/>
      <c r="AR20" s="2" t="n"/>
      <c r="AS20" s="65" t="n"/>
      <c r="AT20" s="58" t="n"/>
      <c r="AU20" s="2" t="n"/>
      <c r="AV20" s="2" t="n"/>
      <c r="AW20" s="2" t="n"/>
      <c r="AX20" s="2" t="n"/>
      <c r="AY20" s="65" t="n"/>
      <c r="AZ20" s="58" t="n"/>
      <c r="BA20" s="2" t="n"/>
      <c r="BB20" s="2" t="n"/>
      <c r="BC20" s="2" t="n"/>
      <c r="BD20" s="2" t="n"/>
      <c r="BE20" s="65" t="n"/>
      <c r="BF20" s="58" t="n"/>
      <c r="BG20" s="2" t="n"/>
      <c r="BH20" s="2" t="n"/>
      <c r="BI20" s="2" t="n"/>
      <c r="BJ20" s="2" t="n"/>
      <c r="BK20" s="65" t="n"/>
      <c r="BL20" s="58" t="n"/>
      <c r="BM20" s="2" t="n"/>
      <c r="BN20" s="2" t="n"/>
      <c r="BO20" s="2" t="n"/>
      <c r="BP20" s="2" t="n"/>
      <c r="BQ20" s="65" t="n"/>
      <c r="BR20" s="58" t="n"/>
      <c r="BS20" s="2" t="n"/>
      <c r="BT20" s="2" t="n"/>
      <c r="BU20" s="2" t="n"/>
      <c r="BV20" s="2" t="n"/>
      <c r="BW20" s="65" t="n"/>
      <c r="BX20" s="58" t="n"/>
      <c r="BY20" s="2" t="n"/>
      <c r="BZ20" s="2" t="n"/>
      <c r="CA20" s="2" t="n"/>
      <c r="CB20" s="2" t="n"/>
      <c r="CC20" s="65" t="n"/>
      <c r="CD20" s="58" t="n"/>
      <c r="CE20" s="2" t="n"/>
      <c r="CF20" s="2" t="n"/>
      <c r="CG20" s="2" t="n"/>
      <c r="CH20" s="2" t="n"/>
      <c r="CI20" s="65" t="n"/>
      <c r="CJ20" s="58" t="n"/>
      <c r="CK20" s="2" t="n"/>
      <c r="CL20" s="2" t="n"/>
      <c r="CM20" s="2" t="n"/>
      <c r="CN20" s="2" t="n"/>
      <c r="CO20" s="65" t="n"/>
      <c r="CP20" s="58" t="n"/>
      <c r="CQ20" s="2" t="n"/>
      <c r="CR20" s="2" t="n"/>
      <c r="CS20" s="2" t="n"/>
      <c r="CT20" s="2" t="n"/>
      <c r="CU20" s="65" t="n"/>
      <c r="CV20" s="58" t="n"/>
      <c r="CW20" s="2" t="n"/>
      <c r="CX20" s="2" t="n"/>
      <c r="CY20" s="2" t="n"/>
      <c r="CZ20" s="2" t="n"/>
      <c r="DA20" s="65" t="n"/>
      <c r="DB20" s="58" t="n"/>
      <c r="DC20" s="2" t="n"/>
      <c r="DD20" s="2" t="n"/>
      <c r="DE20" s="2" t="n"/>
      <c r="DF20" s="2" t="n"/>
      <c r="DG20" s="65" t="n"/>
      <c r="DH20" s="58" t="n"/>
      <c r="DI20" s="2" t="n"/>
      <c r="DJ20" s="2" t="n"/>
      <c r="DK20" s="2" t="n"/>
      <c r="DL20" s="2" t="n"/>
      <c r="DM20" s="65" t="n"/>
      <c r="DN20" s="58" t="n"/>
      <c r="DO20" s="2" t="n"/>
      <c r="DP20" s="2" t="n"/>
      <c r="DQ20" s="2" t="n"/>
      <c r="DR20" s="2" t="n"/>
      <c r="DS20" s="65" t="n"/>
      <c r="DT20" s="58" t="n"/>
      <c r="DU20" s="2" t="n"/>
      <c r="DV20" s="2" t="n"/>
      <c r="DW20" s="2" t="n"/>
      <c r="DX20" s="2" t="n"/>
      <c r="DY20" s="65" t="n"/>
      <c r="DZ20" s="58" t="n"/>
      <c r="EA20" s="2" t="n"/>
      <c r="EB20" s="2" t="n"/>
      <c r="EC20" s="2" t="n"/>
      <c r="ED20" s="2" t="n"/>
      <c r="EE20" s="65" t="n"/>
      <c r="EF20" s="58" t="n"/>
      <c r="EG20" s="2" t="n"/>
      <c r="EH20" s="2" t="n"/>
      <c r="EI20" s="2" t="n"/>
      <c r="EJ20" s="2" t="n"/>
      <c r="EK20" s="65" t="n"/>
      <c r="EL20" s="58" t="n"/>
      <c r="EM20" s="2" t="n"/>
      <c r="EN20" s="2" t="n"/>
      <c r="EO20" s="2" t="n"/>
      <c r="EP20" s="2" t="n"/>
      <c r="EQ20" s="65" t="n"/>
    </row>
    <row r="21" customFormat="1" s="15">
      <c r="A21" s="14" t="inlineStr">
        <is>
          <t>Labor</t>
        </is>
      </c>
      <c r="B21" s="18">
        <f>TEXT($C$7,"yyyy-mm-dd")&amp;"Separate123"&amp;IF($D$7="","XYZ",$D$7)&amp;"Separate123"&amp;"Row"&amp;ROW()</f>
        <v/>
      </c>
      <c r="C21" s="1" t="n"/>
      <c r="D21" s="1" t="n"/>
      <c r="E21" s="28">
        <f>IF(AND(F21="",G21=""),"",IF(F21="",0,F21)+IF(G21="",0,G21))</f>
        <v/>
      </c>
      <c r="F21" s="28">
        <f>IF(SUMIF($Q$11:$EQ$11,"R",Q21:EQ21)=0,"",SUMIF($Q$11:$EQ$11,"R",Q21:EQ21))</f>
        <v/>
      </c>
      <c r="G21" s="28">
        <f>IF(SUMIF($Q$11:$EQ$11,"DT",Q21:EQ21)=0,"",SUMIF($Q$11:$EQ$11,"DT",Q21:EQ21))</f>
        <v/>
      </c>
      <c r="H21" s="64" t="n"/>
      <c r="I21" s="64" t="n"/>
      <c r="J21" s="64" t="n"/>
      <c r="K21" s="67" t="n"/>
      <c r="L21" s="67" t="n"/>
      <c r="M21" s="69" t="n"/>
      <c r="N21" s="70" t="n"/>
      <c r="O21" s="72" t="n"/>
      <c r="P21" s="72" t="n"/>
      <c r="Q21" s="5" t="n"/>
      <c r="R21" s="2" t="n"/>
      <c r="S21" s="2" t="n"/>
      <c r="T21" s="2" t="n"/>
      <c r="U21" s="65" t="n"/>
      <c r="V21" s="58" t="n"/>
      <c r="W21" s="2" t="n"/>
      <c r="X21" s="2" t="n"/>
      <c r="Y21" s="2" t="n"/>
      <c r="Z21" s="2" t="n"/>
      <c r="AA21" s="65" t="n"/>
      <c r="AB21" s="58" t="n"/>
      <c r="AC21" s="2" t="n"/>
      <c r="AD21" s="2" t="n"/>
      <c r="AE21" s="2" t="n"/>
      <c r="AF21" s="2" t="n"/>
      <c r="AG21" s="65" t="n"/>
      <c r="AH21" s="58" t="n"/>
      <c r="AI21" s="2" t="n"/>
      <c r="AJ21" s="2" t="n"/>
      <c r="AK21" s="2" t="n"/>
      <c r="AL21" s="2" t="n"/>
      <c r="AM21" s="65" t="n"/>
      <c r="AN21" s="58" t="n"/>
      <c r="AO21" s="2" t="n"/>
      <c r="AP21" s="2" t="n"/>
      <c r="AQ21" s="2" t="n"/>
      <c r="AR21" s="2" t="n"/>
      <c r="AS21" s="65" t="n"/>
      <c r="AT21" s="58" t="n"/>
      <c r="AU21" s="2" t="n"/>
      <c r="AV21" s="2" t="n"/>
      <c r="AW21" s="2" t="n"/>
      <c r="AX21" s="2" t="n"/>
      <c r="AY21" s="65" t="n"/>
      <c r="AZ21" s="58" t="n"/>
      <c r="BA21" s="2" t="n"/>
      <c r="BB21" s="2" t="n"/>
      <c r="BC21" s="2" t="n"/>
      <c r="BD21" s="2" t="n"/>
      <c r="BE21" s="65" t="n"/>
      <c r="BF21" s="58" t="n"/>
      <c r="BG21" s="2" t="n"/>
      <c r="BH21" s="2" t="n"/>
      <c r="BI21" s="2" t="n"/>
      <c r="BJ21" s="2" t="n"/>
      <c r="BK21" s="65" t="n"/>
      <c r="BL21" s="58" t="n"/>
      <c r="BM21" s="2" t="n"/>
      <c r="BN21" s="2" t="n"/>
      <c r="BO21" s="2" t="n"/>
      <c r="BP21" s="2" t="n"/>
      <c r="BQ21" s="65" t="n"/>
      <c r="BR21" s="58" t="n"/>
      <c r="BS21" s="2" t="n"/>
      <c r="BT21" s="2" t="n"/>
      <c r="BU21" s="2" t="n"/>
      <c r="BV21" s="2" t="n"/>
      <c r="BW21" s="65" t="n"/>
      <c r="BX21" s="58" t="n"/>
      <c r="BY21" s="2" t="n"/>
      <c r="BZ21" s="2" t="n"/>
      <c r="CA21" s="2" t="n"/>
      <c r="CB21" s="2" t="n"/>
      <c r="CC21" s="65" t="n"/>
      <c r="CD21" s="58" t="n"/>
      <c r="CE21" s="2" t="n"/>
      <c r="CF21" s="2" t="n"/>
      <c r="CG21" s="2" t="n"/>
      <c r="CH21" s="2" t="n"/>
      <c r="CI21" s="65" t="n"/>
      <c r="CJ21" s="58" t="n"/>
      <c r="CK21" s="2" t="n"/>
      <c r="CL21" s="2" t="n"/>
      <c r="CM21" s="2" t="n"/>
      <c r="CN21" s="2" t="n"/>
      <c r="CO21" s="65" t="n"/>
      <c r="CP21" s="58" t="n"/>
      <c r="CQ21" s="2" t="n"/>
      <c r="CR21" s="2" t="n"/>
      <c r="CS21" s="2" t="n"/>
      <c r="CT21" s="2" t="n"/>
      <c r="CU21" s="65" t="n"/>
      <c r="CV21" s="58" t="n"/>
      <c r="CW21" s="2" t="n"/>
      <c r="CX21" s="2" t="n"/>
      <c r="CY21" s="2" t="n"/>
      <c r="CZ21" s="2" t="n"/>
      <c r="DA21" s="65" t="n"/>
      <c r="DB21" s="58" t="n"/>
      <c r="DC21" s="2" t="n"/>
      <c r="DD21" s="2" t="n"/>
      <c r="DE21" s="2" t="n"/>
      <c r="DF21" s="2" t="n"/>
      <c r="DG21" s="65" t="n"/>
      <c r="DH21" s="58" t="n"/>
      <c r="DI21" s="2" t="n"/>
      <c r="DJ21" s="2" t="n"/>
      <c r="DK21" s="2" t="n"/>
      <c r="DL21" s="2" t="n"/>
      <c r="DM21" s="65" t="n"/>
      <c r="DN21" s="58" t="n"/>
      <c r="DO21" s="2" t="n"/>
      <c r="DP21" s="2" t="n"/>
      <c r="DQ21" s="2" t="n"/>
      <c r="DR21" s="2" t="n"/>
      <c r="DS21" s="65" t="n"/>
      <c r="DT21" s="58" t="n"/>
      <c r="DU21" s="2" t="n"/>
      <c r="DV21" s="2" t="n"/>
      <c r="DW21" s="2" t="n"/>
      <c r="DX21" s="2" t="n"/>
      <c r="DY21" s="65" t="n"/>
      <c r="DZ21" s="58" t="n"/>
      <c r="EA21" s="2" t="n"/>
      <c r="EB21" s="2" t="n"/>
      <c r="EC21" s="2" t="n"/>
      <c r="ED21" s="2" t="n"/>
      <c r="EE21" s="65" t="n"/>
      <c r="EF21" s="58" t="n"/>
      <c r="EG21" s="2" t="n"/>
      <c r="EH21" s="2" t="n"/>
      <c r="EI21" s="2" t="n"/>
      <c r="EJ21" s="2" t="n"/>
      <c r="EK21" s="65" t="n"/>
      <c r="EL21" s="58" t="n"/>
      <c r="EM21" s="2" t="n"/>
      <c r="EN21" s="2" t="n"/>
      <c r="EO21" s="2" t="n"/>
      <c r="EP21" s="2" t="n"/>
      <c r="EQ21" s="65" t="n"/>
    </row>
    <row r="22" customFormat="1" s="15">
      <c r="A22" s="14" t="inlineStr">
        <is>
          <t>Labor</t>
        </is>
      </c>
      <c r="B22" s="18">
        <f>TEXT($C$7,"yyyy-mm-dd")&amp;"Separate123"&amp;IF($D$7="","XYZ",$D$7)&amp;"Separate123"&amp;"Row"&amp;ROW()</f>
        <v/>
      </c>
      <c r="C22" s="1" t="n"/>
      <c r="D22" s="1" t="n"/>
      <c r="E22" s="28">
        <f>IF(AND(F22="",G22=""),"",IF(F22="",0,F22)+IF(G22="",0,G22))</f>
        <v/>
      </c>
      <c r="F22" s="28">
        <f>IF(SUMIF($Q$11:$EQ$11,"R",Q22:EQ22)=0,"",SUMIF($Q$11:$EQ$11,"R",Q22:EQ22))</f>
        <v/>
      </c>
      <c r="G22" s="28">
        <f>IF(SUMIF($Q$11:$EQ$11,"DT",Q22:EQ22)=0,"",SUMIF($Q$11:$EQ$11,"DT",Q22:EQ22))</f>
        <v/>
      </c>
      <c r="H22" s="64" t="n"/>
      <c r="I22" s="64" t="n"/>
      <c r="J22" s="64" t="n"/>
      <c r="K22" s="67" t="n"/>
      <c r="L22" s="67" t="n"/>
      <c r="M22" s="69" t="n"/>
      <c r="N22" s="70" t="n"/>
      <c r="O22" s="72" t="n"/>
      <c r="P22" s="72" t="n"/>
      <c r="Q22" s="5" t="n"/>
      <c r="R22" s="2" t="n"/>
      <c r="S22" s="2" t="n"/>
      <c r="T22" s="2" t="n"/>
      <c r="U22" s="65" t="n"/>
      <c r="V22" s="58" t="n"/>
      <c r="W22" s="2" t="n"/>
      <c r="X22" s="2" t="n"/>
      <c r="Y22" s="2" t="n"/>
      <c r="Z22" s="2" t="n"/>
      <c r="AA22" s="65" t="n"/>
      <c r="AB22" s="58" t="n"/>
      <c r="AC22" s="2" t="n"/>
      <c r="AD22" s="2" t="n"/>
      <c r="AE22" s="2" t="n"/>
      <c r="AF22" s="2" t="n"/>
      <c r="AG22" s="65" t="n"/>
      <c r="AH22" s="58" t="n"/>
      <c r="AI22" s="2" t="n"/>
      <c r="AJ22" s="2" t="n"/>
      <c r="AK22" s="2" t="n"/>
      <c r="AL22" s="2" t="n"/>
      <c r="AM22" s="65" t="n"/>
      <c r="AN22" s="58" t="n"/>
      <c r="AO22" s="2" t="n"/>
      <c r="AP22" s="2" t="n"/>
      <c r="AQ22" s="2" t="n"/>
      <c r="AR22" s="2" t="n"/>
      <c r="AS22" s="65" t="n"/>
      <c r="AT22" s="58" t="n"/>
      <c r="AU22" s="2" t="n"/>
      <c r="AV22" s="2" t="n"/>
      <c r="AW22" s="2" t="n"/>
      <c r="AX22" s="2" t="n"/>
      <c r="AY22" s="65" t="n"/>
      <c r="AZ22" s="58" t="n"/>
      <c r="BA22" s="2" t="n"/>
      <c r="BB22" s="2" t="n"/>
      <c r="BC22" s="2" t="n"/>
      <c r="BD22" s="2" t="n"/>
      <c r="BE22" s="65" t="n"/>
      <c r="BF22" s="58" t="n"/>
      <c r="BG22" s="2" t="n"/>
      <c r="BH22" s="2" t="n"/>
      <c r="BI22" s="2" t="n"/>
      <c r="BJ22" s="2" t="n"/>
      <c r="BK22" s="65" t="n"/>
      <c r="BL22" s="58" t="n"/>
      <c r="BM22" s="2" t="n"/>
      <c r="BN22" s="2" t="n"/>
      <c r="BO22" s="2" t="n"/>
      <c r="BP22" s="2" t="n"/>
      <c r="BQ22" s="65" t="n"/>
      <c r="BR22" s="58" t="n"/>
      <c r="BS22" s="2" t="n"/>
      <c r="BT22" s="2" t="n"/>
      <c r="BU22" s="2" t="n"/>
      <c r="BV22" s="2" t="n"/>
      <c r="BW22" s="65" t="n"/>
      <c r="BX22" s="58" t="n"/>
      <c r="BY22" s="2" t="n"/>
      <c r="BZ22" s="2" t="n"/>
      <c r="CA22" s="2" t="n"/>
      <c r="CB22" s="2" t="n"/>
      <c r="CC22" s="65" t="n"/>
      <c r="CD22" s="58" t="n"/>
      <c r="CE22" s="2" t="n"/>
      <c r="CF22" s="2" t="n"/>
      <c r="CG22" s="2" t="n"/>
      <c r="CH22" s="2" t="n"/>
      <c r="CI22" s="65" t="n"/>
      <c r="CJ22" s="58" t="n"/>
      <c r="CK22" s="2" t="n"/>
      <c r="CL22" s="2" t="n"/>
      <c r="CM22" s="2" t="n"/>
      <c r="CN22" s="2" t="n"/>
      <c r="CO22" s="65" t="n"/>
      <c r="CP22" s="58" t="n"/>
      <c r="CQ22" s="2" t="n"/>
      <c r="CR22" s="2" t="n"/>
      <c r="CS22" s="2" t="n"/>
      <c r="CT22" s="2" t="n"/>
      <c r="CU22" s="65" t="n"/>
      <c r="CV22" s="58" t="n"/>
      <c r="CW22" s="2" t="n"/>
      <c r="CX22" s="2" t="n"/>
      <c r="CY22" s="2" t="n"/>
      <c r="CZ22" s="2" t="n"/>
      <c r="DA22" s="65" t="n"/>
      <c r="DB22" s="58" t="n"/>
      <c r="DC22" s="2" t="n"/>
      <c r="DD22" s="2" t="n"/>
      <c r="DE22" s="2" t="n"/>
      <c r="DF22" s="2" t="n"/>
      <c r="DG22" s="65" t="n"/>
      <c r="DH22" s="58" t="n"/>
      <c r="DI22" s="2" t="n"/>
      <c r="DJ22" s="2" t="n"/>
      <c r="DK22" s="2" t="n"/>
      <c r="DL22" s="2" t="n"/>
      <c r="DM22" s="65" t="n"/>
      <c r="DN22" s="58" t="n"/>
      <c r="DO22" s="2" t="n"/>
      <c r="DP22" s="2" t="n"/>
      <c r="DQ22" s="2" t="n"/>
      <c r="DR22" s="2" t="n"/>
      <c r="DS22" s="65" t="n"/>
      <c r="DT22" s="58" t="n"/>
      <c r="DU22" s="2" t="n"/>
      <c r="DV22" s="2" t="n"/>
      <c r="DW22" s="2" t="n"/>
      <c r="DX22" s="2" t="n"/>
      <c r="DY22" s="65" t="n"/>
      <c r="DZ22" s="58" t="n"/>
      <c r="EA22" s="2" t="n"/>
      <c r="EB22" s="2" t="n"/>
      <c r="EC22" s="2" t="n"/>
      <c r="ED22" s="2" t="n"/>
      <c r="EE22" s="65" t="n"/>
      <c r="EF22" s="58" t="n"/>
      <c r="EG22" s="2" t="n"/>
      <c r="EH22" s="2" t="n"/>
      <c r="EI22" s="2" t="n"/>
      <c r="EJ22" s="2" t="n"/>
      <c r="EK22" s="65" t="n"/>
      <c r="EL22" s="58" t="n"/>
      <c r="EM22" s="2" t="n"/>
      <c r="EN22" s="2" t="n"/>
      <c r="EO22" s="2" t="n"/>
      <c r="EP22" s="2" t="n"/>
      <c r="EQ22" s="65" t="n"/>
    </row>
    <row r="23" customFormat="1" s="15">
      <c r="A23" s="14" t="inlineStr">
        <is>
          <t>Labor</t>
        </is>
      </c>
      <c r="B23" s="18">
        <f>TEXT($C$7,"yyyy-mm-dd")&amp;"Separate123"&amp;IF($D$7="","XYZ",$D$7)&amp;"Separate123"&amp;"Row"&amp;ROW()</f>
        <v/>
      </c>
      <c r="C23" s="1" t="n"/>
      <c r="D23" s="1" t="n"/>
      <c r="E23" s="28">
        <f>IF(AND(F23="",G23=""),"",IF(F23="",0,F23)+IF(G23="",0,G23))</f>
        <v/>
      </c>
      <c r="F23" s="28">
        <f>IF(SUMIF($Q$11:$EQ$11,"R",Q23:EQ23)=0,"",SUMIF($Q$11:$EQ$11,"R",Q23:EQ23))</f>
        <v/>
      </c>
      <c r="G23" s="28">
        <f>IF(SUMIF($Q$11:$EQ$11,"DT",Q23:EQ23)=0,"",SUMIF($Q$11:$EQ$11,"DT",Q23:EQ23))</f>
        <v/>
      </c>
      <c r="H23" s="64" t="n"/>
      <c r="I23" s="64" t="n"/>
      <c r="J23" s="64" t="n"/>
      <c r="K23" s="67" t="n"/>
      <c r="L23" s="67" t="n"/>
      <c r="M23" s="69" t="n"/>
      <c r="N23" s="70" t="n"/>
      <c r="O23" s="72" t="n"/>
      <c r="P23" s="72" t="n"/>
      <c r="Q23" s="5" t="n"/>
      <c r="R23" s="2" t="n"/>
      <c r="S23" s="2" t="n"/>
      <c r="T23" s="2" t="n"/>
      <c r="U23" s="65" t="n"/>
      <c r="V23" s="58" t="n"/>
      <c r="W23" s="2" t="n"/>
      <c r="X23" s="2" t="n"/>
      <c r="Y23" s="2" t="n"/>
      <c r="Z23" s="2" t="n"/>
      <c r="AA23" s="65" t="n"/>
      <c r="AB23" s="58" t="n"/>
      <c r="AC23" s="2" t="n"/>
      <c r="AD23" s="2" t="n"/>
      <c r="AE23" s="2" t="n"/>
      <c r="AF23" s="2" t="n"/>
      <c r="AG23" s="65" t="n"/>
      <c r="AH23" s="58" t="n"/>
      <c r="AI23" s="2" t="n"/>
      <c r="AJ23" s="2" t="n"/>
      <c r="AK23" s="2" t="n"/>
      <c r="AL23" s="2" t="n"/>
      <c r="AM23" s="65" t="n"/>
      <c r="AN23" s="58" t="n"/>
      <c r="AO23" s="2" t="n"/>
      <c r="AP23" s="2" t="n"/>
      <c r="AQ23" s="2" t="n"/>
      <c r="AR23" s="2" t="n"/>
      <c r="AS23" s="65" t="n"/>
      <c r="AT23" s="58" t="n"/>
      <c r="AU23" s="2" t="n"/>
      <c r="AV23" s="2" t="n"/>
      <c r="AW23" s="2" t="n"/>
      <c r="AX23" s="2" t="n"/>
      <c r="AY23" s="65" t="n"/>
      <c r="AZ23" s="58" t="n"/>
      <c r="BA23" s="2" t="n"/>
      <c r="BB23" s="2" t="n"/>
      <c r="BC23" s="2" t="n"/>
      <c r="BD23" s="2" t="n"/>
      <c r="BE23" s="65" t="n"/>
      <c r="BF23" s="58" t="n"/>
      <c r="BG23" s="2" t="n"/>
      <c r="BH23" s="2" t="n"/>
      <c r="BI23" s="2" t="n"/>
      <c r="BJ23" s="2" t="n"/>
      <c r="BK23" s="65" t="n"/>
      <c r="BL23" s="58" t="n"/>
      <c r="BM23" s="2" t="n"/>
      <c r="BN23" s="2" t="n"/>
      <c r="BO23" s="2" t="n"/>
      <c r="BP23" s="2" t="n"/>
      <c r="BQ23" s="65" t="n"/>
      <c r="BR23" s="58" t="n"/>
      <c r="BS23" s="2" t="n"/>
      <c r="BT23" s="2" t="n"/>
      <c r="BU23" s="2" t="n"/>
      <c r="BV23" s="2" t="n"/>
      <c r="BW23" s="65" t="n"/>
      <c r="BX23" s="58" t="n"/>
      <c r="BY23" s="2" t="n"/>
      <c r="BZ23" s="2" t="n"/>
      <c r="CA23" s="2" t="n"/>
      <c r="CB23" s="2" t="n"/>
      <c r="CC23" s="65" t="n"/>
      <c r="CD23" s="58" t="n"/>
      <c r="CE23" s="2" t="n"/>
      <c r="CF23" s="2" t="n"/>
      <c r="CG23" s="2" t="n"/>
      <c r="CH23" s="2" t="n"/>
      <c r="CI23" s="65" t="n"/>
      <c r="CJ23" s="58" t="n"/>
      <c r="CK23" s="2" t="n"/>
      <c r="CL23" s="2" t="n"/>
      <c r="CM23" s="2" t="n"/>
      <c r="CN23" s="2" t="n"/>
      <c r="CO23" s="65" t="n"/>
      <c r="CP23" s="58" t="n"/>
      <c r="CQ23" s="2" t="n"/>
      <c r="CR23" s="2" t="n"/>
      <c r="CS23" s="2" t="n"/>
      <c r="CT23" s="2" t="n"/>
      <c r="CU23" s="65" t="n"/>
      <c r="CV23" s="58" t="n"/>
      <c r="CW23" s="2" t="n"/>
      <c r="CX23" s="2" t="n"/>
      <c r="CY23" s="2" t="n"/>
      <c r="CZ23" s="2" t="n"/>
      <c r="DA23" s="65" t="n"/>
      <c r="DB23" s="58" t="n"/>
      <c r="DC23" s="2" t="n"/>
      <c r="DD23" s="2" t="n"/>
      <c r="DE23" s="2" t="n"/>
      <c r="DF23" s="2" t="n"/>
      <c r="DG23" s="65" t="n"/>
      <c r="DH23" s="58" t="n"/>
      <c r="DI23" s="2" t="n"/>
      <c r="DJ23" s="2" t="n"/>
      <c r="DK23" s="2" t="n"/>
      <c r="DL23" s="2" t="n"/>
      <c r="DM23" s="65" t="n"/>
      <c r="DN23" s="58" t="n"/>
      <c r="DO23" s="2" t="n"/>
      <c r="DP23" s="2" t="n"/>
      <c r="DQ23" s="2" t="n"/>
      <c r="DR23" s="2" t="n"/>
      <c r="DS23" s="65" t="n"/>
      <c r="DT23" s="58" t="n"/>
      <c r="DU23" s="2" t="n"/>
      <c r="DV23" s="2" t="n"/>
      <c r="DW23" s="2" t="n"/>
      <c r="DX23" s="2" t="n"/>
      <c r="DY23" s="65" t="n"/>
      <c r="DZ23" s="58" t="n"/>
      <c r="EA23" s="2" t="n"/>
      <c r="EB23" s="2" t="n"/>
      <c r="EC23" s="2" t="n"/>
      <c r="ED23" s="2" t="n"/>
      <c r="EE23" s="65" t="n"/>
      <c r="EF23" s="58" t="n"/>
      <c r="EG23" s="2" t="n"/>
      <c r="EH23" s="2" t="n"/>
      <c r="EI23" s="2" t="n"/>
      <c r="EJ23" s="2" t="n"/>
      <c r="EK23" s="65" t="n"/>
      <c r="EL23" s="58" t="n"/>
      <c r="EM23" s="2" t="n"/>
      <c r="EN23" s="2" t="n"/>
      <c r="EO23" s="2" t="n"/>
      <c r="EP23" s="2" t="n"/>
      <c r="EQ23" s="65" t="n"/>
    </row>
    <row r="24" customFormat="1" s="15">
      <c r="A24" s="14" t="inlineStr">
        <is>
          <t>Labor</t>
        </is>
      </c>
      <c r="B24" s="18">
        <f>TEXT($C$7,"yyyy-mm-dd")&amp;"Separate123"&amp;IF($D$7="","XYZ",$D$7)&amp;"Separate123"&amp;"Row"&amp;ROW()</f>
        <v/>
      </c>
      <c r="C24" s="1" t="n"/>
      <c r="D24" s="1" t="n"/>
      <c r="E24" s="28">
        <f>IF(AND(F24="",G24=""),"",IF(F24="",0,F24)+IF(G24="",0,G24))</f>
        <v/>
      </c>
      <c r="F24" s="28">
        <f>IF(SUMIF($Q$11:$EQ$11,"R",Q24:EQ24)=0,"",SUMIF($Q$11:$EQ$11,"R",Q24:EQ24))</f>
        <v/>
      </c>
      <c r="G24" s="28">
        <f>IF(SUMIF($Q$11:$EQ$11,"DT",Q24:EQ24)=0,"",SUMIF($Q$11:$EQ$11,"DT",Q24:EQ24))</f>
        <v/>
      </c>
      <c r="H24" s="64" t="n"/>
      <c r="I24" s="64" t="n"/>
      <c r="J24" s="64" t="n"/>
      <c r="K24" s="67" t="n"/>
      <c r="L24" s="67" t="n"/>
      <c r="M24" s="69" t="n"/>
      <c r="N24" s="70" t="n"/>
      <c r="O24" s="72" t="n"/>
      <c r="P24" s="72" t="n"/>
      <c r="Q24" s="5" t="n"/>
      <c r="R24" s="2" t="n"/>
      <c r="S24" s="2" t="n"/>
      <c r="T24" s="2" t="n"/>
      <c r="U24" s="65" t="n"/>
      <c r="V24" s="58" t="n"/>
      <c r="W24" s="2" t="n"/>
      <c r="X24" s="2" t="n"/>
      <c r="Y24" s="2" t="n"/>
      <c r="Z24" s="2" t="n"/>
      <c r="AA24" s="65" t="n"/>
      <c r="AB24" s="58" t="n"/>
      <c r="AC24" s="2" t="n"/>
      <c r="AD24" s="2" t="n"/>
      <c r="AE24" s="2" t="n"/>
      <c r="AF24" s="2" t="n"/>
      <c r="AG24" s="65" t="n"/>
      <c r="AH24" s="58" t="n"/>
      <c r="AI24" s="2" t="n"/>
      <c r="AJ24" s="2" t="n"/>
      <c r="AK24" s="2" t="n"/>
      <c r="AL24" s="2" t="n"/>
      <c r="AM24" s="65" t="n"/>
      <c r="AN24" s="58" t="n"/>
      <c r="AO24" s="2" t="n"/>
      <c r="AP24" s="2" t="n"/>
      <c r="AQ24" s="2" t="n"/>
      <c r="AR24" s="2" t="n"/>
      <c r="AS24" s="65" t="n"/>
      <c r="AT24" s="58" t="n"/>
      <c r="AU24" s="2" t="n"/>
      <c r="AV24" s="2" t="n"/>
      <c r="AW24" s="2" t="n"/>
      <c r="AX24" s="2" t="n"/>
      <c r="AY24" s="65" t="n"/>
      <c r="AZ24" s="58" t="n"/>
      <c r="BA24" s="2" t="n"/>
      <c r="BB24" s="2" t="n"/>
      <c r="BC24" s="2" t="n"/>
      <c r="BD24" s="2" t="n"/>
      <c r="BE24" s="65" t="n"/>
      <c r="BF24" s="58" t="n"/>
      <c r="BG24" s="2" t="n"/>
      <c r="BH24" s="2" t="n"/>
      <c r="BI24" s="2" t="n"/>
      <c r="BJ24" s="2" t="n"/>
      <c r="BK24" s="65" t="n"/>
      <c r="BL24" s="58" t="n"/>
      <c r="BM24" s="2" t="n"/>
      <c r="BN24" s="2" t="n"/>
      <c r="BO24" s="2" t="n"/>
      <c r="BP24" s="2" t="n"/>
      <c r="BQ24" s="65" t="n"/>
      <c r="BR24" s="58" t="n"/>
      <c r="BS24" s="2" t="n"/>
      <c r="BT24" s="2" t="n"/>
      <c r="BU24" s="2" t="n"/>
      <c r="BV24" s="2" t="n"/>
      <c r="BW24" s="65" t="n"/>
      <c r="BX24" s="58" t="n"/>
      <c r="BY24" s="2" t="n"/>
      <c r="BZ24" s="2" t="n"/>
      <c r="CA24" s="2" t="n"/>
      <c r="CB24" s="2" t="n"/>
      <c r="CC24" s="65" t="n"/>
      <c r="CD24" s="58" t="n"/>
      <c r="CE24" s="2" t="n"/>
      <c r="CF24" s="2" t="n"/>
      <c r="CG24" s="2" t="n"/>
      <c r="CH24" s="2" t="n"/>
      <c r="CI24" s="65" t="n"/>
      <c r="CJ24" s="58" t="n"/>
      <c r="CK24" s="2" t="n"/>
      <c r="CL24" s="2" t="n"/>
      <c r="CM24" s="2" t="n"/>
      <c r="CN24" s="2" t="n"/>
      <c r="CO24" s="65" t="n"/>
      <c r="CP24" s="58" t="n"/>
      <c r="CQ24" s="2" t="n"/>
      <c r="CR24" s="2" t="n"/>
      <c r="CS24" s="2" t="n"/>
      <c r="CT24" s="2" t="n"/>
      <c r="CU24" s="65" t="n"/>
      <c r="CV24" s="58" t="n"/>
      <c r="CW24" s="2" t="n"/>
      <c r="CX24" s="2" t="n"/>
      <c r="CY24" s="2" t="n"/>
      <c r="CZ24" s="2" t="n"/>
      <c r="DA24" s="65" t="n"/>
      <c r="DB24" s="58" t="n"/>
      <c r="DC24" s="2" t="n"/>
      <c r="DD24" s="2" t="n"/>
      <c r="DE24" s="2" t="n"/>
      <c r="DF24" s="2" t="n"/>
      <c r="DG24" s="65" t="n"/>
      <c r="DH24" s="58" t="n"/>
      <c r="DI24" s="2" t="n"/>
      <c r="DJ24" s="2" t="n"/>
      <c r="DK24" s="2" t="n"/>
      <c r="DL24" s="2" t="n"/>
      <c r="DM24" s="65" t="n"/>
      <c r="DN24" s="58" t="n"/>
      <c r="DO24" s="2" t="n"/>
      <c r="DP24" s="2" t="n"/>
      <c r="DQ24" s="2" t="n"/>
      <c r="DR24" s="2" t="n"/>
      <c r="DS24" s="65" t="n"/>
      <c r="DT24" s="58" t="n"/>
      <c r="DU24" s="2" t="n"/>
      <c r="DV24" s="2" t="n"/>
      <c r="DW24" s="2" t="n"/>
      <c r="DX24" s="2" t="n"/>
      <c r="DY24" s="65" t="n"/>
      <c r="DZ24" s="58" t="n"/>
      <c r="EA24" s="2" t="n"/>
      <c r="EB24" s="2" t="n"/>
      <c r="EC24" s="2" t="n"/>
      <c r="ED24" s="2" t="n"/>
      <c r="EE24" s="65" t="n"/>
      <c r="EF24" s="58" t="n"/>
      <c r="EG24" s="2" t="n"/>
      <c r="EH24" s="2" t="n"/>
      <c r="EI24" s="2" t="n"/>
      <c r="EJ24" s="2" t="n"/>
      <c r="EK24" s="65" t="n"/>
      <c r="EL24" s="58" t="n"/>
      <c r="EM24" s="2" t="n"/>
      <c r="EN24" s="2" t="n"/>
      <c r="EO24" s="2" t="n"/>
      <c r="EP24" s="2" t="n"/>
      <c r="EQ24" s="65" t="n"/>
    </row>
    <row r="25" customFormat="1" s="15">
      <c r="A25" s="14" t="inlineStr">
        <is>
          <t>Labor</t>
        </is>
      </c>
      <c r="B25" s="18">
        <f>TEXT($C$7,"yyyy-mm-dd")&amp;"Separate123"&amp;IF($D$7="","XYZ",$D$7)&amp;"Separate123"&amp;"Row"&amp;ROW()</f>
        <v/>
      </c>
      <c r="C25" s="1" t="n"/>
      <c r="D25" s="1" t="n"/>
      <c r="E25" s="28">
        <f>IF(AND(F25="",G25=""),"",IF(F25="",0,F25)+IF(G25="",0,G25))</f>
        <v/>
      </c>
      <c r="F25" s="28">
        <f>IF(SUMIF($Q$11:$EQ$11,"R",Q25:EQ25)=0,"",SUMIF($Q$11:$EQ$11,"R",Q25:EQ25))</f>
        <v/>
      </c>
      <c r="G25" s="28">
        <f>IF(SUMIF($Q$11:$EQ$11,"DT",Q25:EQ25)=0,"",SUMIF($Q$11:$EQ$11,"DT",Q25:EQ25))</f>
        <v/>
      </c>
      <c r="H25" s="64" t="n"/>
      <c r="I25" s="64" t="n"/>
      <c r="J25" s="64" t="n"/>
      <c r="K25" s="67" t="n"/>
      <c r="L25" s="67" t="n"/>
      <c r="M25" s="69" t="n"/>
      <c r="N25" s="70" t="n"/>
      <c r="O25" s="72" t="n"/>
      <c r="P25" s="72" t="n"/>
      <c r="Q25" s="5" t="n"/>
      <c r="R25" s="2" t="n"/>
      <c r="S25" s="2" t="n"/>
      <c r="T25" s="2" t="n"/>
      <c r="U25" s="65" t="n"/>
      <c r="V25" s="58" t="n"/>
      <c r="W25" s="2" t="n"/>
      <c r="X25" s="2" t="n"/>
      <c r="Y25" s="2" t="n"/>
      <c r="Z25" s="2" t="n"/>
      <c r="AA25" s="65" t="n"/>
      <c r="AB25" s="58" t="n"/>
      <c r="AC25" s="2" t="n"/>
      <c r="AD25" s="2" t="n"/>
      <c r="AE25" s="2" t="n"/>
      <c r="AF25" s="2" t="n"/>
      <c r="AG25" s="65" t="n"/>
      <c r="AH25" s="58" t="n"/>
      <c r="AI25" s="2" t="n"/>
      <c r="AJ25" s="2" t="n"/>
      <c r="AK25" s="2" t="n"/>
      <c r="AL25" s="2" t="n"/>
      <c r="AM25" s="65" t="n"/>
      <c r="AN25" s="58" t="n"/>
      <c r="AO25" s="2" t="n"/>
      <c r="AP25" s="2" t="n"/>
      <c r="AQ25" s="2" t="n"/>
      <c r="AR25" s="2" t="n"/>
      <c r="AS25" s="65" t="n"/>
      <c r="AT25" s="58" t="n"/>
      <c r="AU25" s="2" t="n"/>
      <c r="AV25" s="2" t="n"/>
      <c r="AW25" s="2" t="n"/>
      <c r="AX25" s="2" t="n"/>
      <c r="AY25" s="65" t="n"/>
      <c r="AZ25" s="58" t="n"/>
      <c r="BA25" s="2" t="n"/>
      <c r="BB25" s="2" t="n"/>
      <c r="BC25" s="2" t="n"/>
      <c r="BD25" s="2" t="n"/>
      <c r="BE25" s="65" t="n"/>
      <c r="BF25" s="58" t="n"/>
      <c r="BG25" s="2" t="n"/>
      <c r="BH25" s="2" t="n"/>
      <c r="BI25" s="2" t="n"/>
      <c r="BJ25" s="2" t="n"/>
      <c r="BK25" s="65" t="n"/>
      <c r="BL25" s="58" t="n"/>
      <c r="BM25" s="2" t="n"/>
      <c r="BN25" s="2" t="n"/>
      <c r="BO25" s="2" t="n"/>
      <c r="BP25" s="2" t="n"/>
      <c r="BQ25" s="65" t="n"/>
      <c r="BR25" s="58" t="n"/>
      <c r="BS25" s="2" t="n"/>
      <c r="BT25" s="2" t="n"/>
      <c r="BU25" s="2" t="n"/>
      <c r="BV25" s="2" t="n"/>
      <c r="BW25" s="65" t="n"/>
      <c r="BX25" s="58" t="n"/>
      <c r="BY25" s="2" t="n"/>
      <c r="BZ25" s="2" t="n"/>
      <c r="CA25" s="2" t="n"/>
      <c r="CB25" s="2" t="n"/>
      <c r="CC25" s="65" t="n"/>
      <c r="CD25" s="58" t="n"/>
      <c r="CE25" s="2" t="n"/>
      <c r="CF25" s="2" t="n"/>
      <c r="CG25" s="2" t="n"/>
      <c r="CH25" s="2" t="n"/>
      <c r="CI25" s="65" t="n"/>
      <c r="CJ25" s="58" t="n"/>
      <c r="CK25" s="2" t="n"/>
      <c r="CL25" s="2" t="n"/>
      <c r="CM25" s="2" t="n"/>
      <c r="CN25" s="2" t="n"/>
      <c r="CO25" s="65" t="n"/>
      <c r="CP25" s="58" t="n"/>
      <c r="CQ25" s="2" t="n"/>
      <c r="CR25" s="2" t="n"/>
      <c r="CS25" s="2" t="n"/>
      <c r="CT25" s="2" t="n"/>
      <c r="CU25" s="65" t="n"/>
      <c r="CV25" s="58" t="n"/>
      <c r="CW25" s="2" t="n"/>
      <c r="CX25" s="2" t="n"/>
      <c r="CY25" s="2" t="n"/>
      <c r="CZ25" s="2" t="n"/>
      <c r="DA25" s="65" t="n"/>
      <c r="DB25" s="58" t="n"/>
      <c r="DC25" s="2" t="n"/>
      <c r="DD25" s="2" t="n"/>
      <c r="DE25" s="2" t="n"/>
      <c r="DF25" s="2" t="n"/>
      <c r="DG25" s="65" t="n"/>
      <c r="DH25" s="58" t="n"/>
      <c r="DI25" s="2" t="n"/>
      <c r="DJ25" s="2" t="n"/>
      <c r="DK25" s="2" t="n"/>
      <c r="DL25" s="2" t="n"/>
      <c r="DM25" s="65" t="n"/>
      <c r="DN25" s="58" t="n"/>
      <c r="DO25" s="2" t="n"/>
      <c r="DP25" s="2" t="n"/>
      <c r="DQ25" s="2" t="n"/>
      <c r="DR25" s="2" t="n"/>
      <c r="DS25" s="65" t="n"/>
      <c r="DT25" s="58" t="n"/>
      <c r="DU25" s="2" t="n"/>
      <c r="DV25" s="2" t="n"/>
      <c r="DW25" s="2" t="n"/>
      <c r="DX25" s="2" t="n"/>
      <c r="DY25" s="65" t="n"/>
      <c r="DZ25" s="58" t="n"/>
      <c r="EA25" s="2" t="n"/>
      <c r="EB25" s="2" t="n"/>
      <c r="EC25" s="2" t="n"/>
      <c r="ED25" s="2" t="n"/>
      <c r="EE25" s="65" t="n"/>
      <c r="EF25" s="58" t="n"/>
      <c r="EG25" s="2" t="n"/>
      <c r="EH25" s="2" t="n"/>
      <c r="EI25" s="2" t="n"/>
      <c r="EJ25" s="2" t="n"/>
      <c r="EK25" s="65" t="n"/>
      <c r="EL25" s="58" t="n"/>
      <c r="EM25" s="2" t="n"/>
      <c r="EN25" s="2" t="n"/>
      <c r="EO25" s="2" t="n"/>
      <c r="EP25" s="2" t="n"/>
      <c r="EQ25" s="65" t="n"/>
    </row>
    <row r="26" customFormat="1" s="15">
      <c r="A26" s="14" t="inlineStr">
        <is>
          <t>Labor</t>
        </is>
      </c>
      <c r="B26" s="18">
        <f>TEXT($C$7,"yyyy-mm-dd")&amp;"Separate123"&amp;IF($D$7="","XYZ",$D$7)&amp;"Separate123"&amp;"Row"&amp;ROW()</f>
        <v/>
      </c>
      <c r="C26" s="1" t="n"/>
      <c r="D26" s="1" t="n"/>
      <c r="E26" s="28">
        <f>IF(AND(F26="",G26=""),"",IF(F26="",0,F26)+IF(G26="",0,G26))</f>
        <v/>
      </c>
      <c r="F26" s="28">
        <f>IF(SUMIF($Q$11:$EQ$11,"R",Q26:EQ26)=0,"",SUMIF($Q$11:$EQ$11,"R",Q26:EQ26))</f>
        <v/>
      </c>
      <c r="G26" s="28">
        <f>IF(SUMIF($Q$11:$EQ$11,"DT",Q26:EQ26)=0,"",SUMIF($Q$11:$EQ$11,"DT",Q26:EQ26))</f>
        <v/>
      </c>
      <c r="H26" s="64" t="n"/>
      <c r="I26" s="64" t="n"/>
      <c r="J26" s="64" t="n"/>
      <c r="K26" s="67" t="n"/>
      <c r="L26" s="67" t="n"/>
      <c r="M26" s="69" t="n"/>
      <c r="N26" s="70" t="n"/>
      <c r="O26" s="72" t="n"/>
      <c r="P26" s="72" t="n"/>
      <c r="Q26" s="5" t="n"/>
      <c r="R26" s="2" t="n"/>
      <c r="S26" s="2" t="n"/>
      <c r="T26" s="2" t="n"/>
      <c r="U26" s="65" t="n"/>
      <c r="V26" s="58" t="n"/>
      <c r="W26" s="2" t="n"/>
      <c r="X26" s="2" t="n"/>
      <c r="Y26" s="2" t="n"/>
      <c r="Z26" s="2" t="n"/>
      <c r="AA26" s="65" t="n"/>
      <c r="AB26" s="58" t="n"/>
      <c r="AC26" s="2" t="n"/>
      <c r="AD26" s="2" t="n"/>
      <c r="AE26" s="2" t="n"/>
      <c r="AF26" s="2" t="n"/>
      <c r="AG26" s="65" t="n"/>
      <c r="AH26" s="58" t="n"/>
      <c r="AI26" s="2" t="n"/>
      <c r="AJ26" s="2" t="n"/>
      <c r="AK26" s="2" t="n"/>
      <c r="AL26" s="2" t="n"/>
      <c r="AM26" s="65" t="n"/>
      <c r="AN26" s="58" t="n"/>
      <c r="AO26" s="2" t="n"/>
      <c r="AP26" s="2" t="n"/>
      <c r="AQ26" s="2" t="n"/>
      <c r="AR26" s="2" t="n"/>
      <c r="AS26" s="65" t="n"/>
      <c r="AT26" s="58" t="n"/>
      <c r="AU26" s="2" t="n"/>
      <c r="AV26" s="2" t="n"/>
      <c r="AW26" s="2" t="n"/>
      <c r="AX26" s="2" t="n"/>
      <c r="AY26" s="65" t="n"/>
      <c r="AZ26" s="58" t="n"/>
      <c r="BA26" s="2" t="n"/>
      <c r="BB26" s="2" t="n"/>
      <c r="BC26" s="2" t="n"/>
      <c r="BD26" s="2" t="n"/>
      <c r="BE26" s="65" t="n"/>
      <c r="BF26" s="58" t="n"/>
      <c r="BG26" s="2" t="n"/>
      <c r="BH26" s="2" t="n"/>
      <c r="BI26" s="2" t="n"/>
      <c r="BJ26" s="2" t="n"/>
      <c r="BK26" s="65" t="n"/>
      <c r="BL26" s="58" t="n"/>
      <c r="BM26" s="2" t="n"/>
      <c r="BN26" s="2" t="n"/>
      <c r="BO26" s="2" t="n"/>
      <c r="BP26" s="2" t="n"/>
      <c r="BQ26" s="65" t="n"/>
      <c r="BR26" s="58" t="n"/>
      <c r="BS26" s="2" t="n"/>
      <c r="BT26" s="2" t="n"/>
      <c r="BU26" s="2" t="n"/>
      <c r="BV26" s="2" t="n"/>
      <c r="BW26" s="65" t="n"/>
      <c r="BX26" s="58" t="n"/>
      <c r="BY26" s="2" t="n"/>
      <c r="BZ26" s="2" t="n"/>
      <c r="CA26" s="2" t="n"/>
      <c r="CB26" s="2" t="n"/>
      <c r="CC26" s="65" t="n"/>
      <c r="CD26" s="58" t="n"/>
      <c r="CE26" s="2" t="n"/>
      <c r="CF26" s="2" t="n"/>
      <c r="CG26" s="2" t="n"/>
      <c r="CH26" s="2" t="n"/>
      <c r="CI26" s="65" t="n"/>
      <c r="CJ26" s="58" t="n"/>
      <c r="CK26" s="2" t="n"/>
      <c r="CL26" s="2" t="n"/>
      <c r="CM26" s="2" t="n"/>
      <c r="CN26" s="2" t="n"/>
      <c r="CO26" s="65" t="n"/>
      <c r="CP26" s="58" t="n"/>
      <c r="CQ26" s="2" t="n"/>
      <c r="CR26" s="2" t="n"/>
      <c r="CS26" s="2" t="n"/>
      <c r="CT26" s="2" t="n"/>
      <c r="CU26" s="65" t="n"/>
      <c r="CV26" s="58" t="n"/>
      <c r="CW26" s="2" t="n"/>
      <c r="CX26" s="2" t="n"/>
      <c r="CY26" s="2" t="n"/>
      <c r="CZ26" s="2" t="n"/>
      <c r="DA26" s="65" t="n"/>
      <c r="DB26" s="58" t="n"/>
      <c r="DC26" s="2" t="n"/>
      <c r="DD26" s="2" t="n"/>
      <c r="DE26" s="2" t="n"/>
      <c r="DF26" s="2" t="n"/>
      <c r="DG26" s="65" t="n"/>
      <c r="DH26" s="58" t="n"/>
      <c r="DI26" s="2" t="n"/>
      <c r="DJ26" s="2" t="n"/>
      <c r="DK26" s="2" t="n"/>
      <c r="DL26" s="2" t="n"/>
      <c r="DM26" s="65" t="n"/>
      <c r="DN26" s="58" t="n"/>
      <c r="DO26" s="2" t="n"/>
      <c r="DP26" s="2" t="n"/>
      <c r="DQ26" s="2" t="n"/>
      <c r="DR26" s="2" t="n"/>
      <c r="DS26" s="65" t="n"/>
      <c r="DT26" s="58" t="n"/>
      <c r="DU26" s="2" t="n"/>
      <c r="DV26" s="2" t="n"/>
      <c r="DW26" s="2" t="n"/>
      <c r="DX26" s="2" t="n"/>
      <c r="DY26" s="65" t="n"/>
      <c r="DZ26" s="58" t="n"/>
      <c r="EA26" s="2" t="n"/>
      <c r="EB26" s="2" t="n"/>
      <c r="EC26" s="2" t="n"/>
      <c r="ED26" s="2" t="n"/>
      <c r="EE26" s="65" t="n"/>
      <c r="EF26" s="58" t="n"/>
      <c r="EG26" s="2" t="n"/>
      <c r="EH26" s="2" t="n"/>
      <c r="EI26" s="2" t="n"/>
      <c r="EJ26" s="2" t="n"/>
      <c r="EK26" s="65" t="n"/>
      <c r="EL26" s="58" t="n"/>
      <c r="EM26" s="2" t="n"/>
      <c r="EN26" s="2" t="n"/>
      <c r="EO26" s="2" t="n"/>
      <c r="EP26" s="2" t="n"/>
      <c r="EQ26" s="65" t="n"/>
    </row>
    <row r="27" customFormat="1" s="15">
      <c r="A27" s="14" t="inlineStr">
        <is>
          <t>Labor</t>
        </is>
      </c>
      <c r="B27" s="18">
        <f>TEXT($C$7,"yyyy-mm-dd")&amp;"Separate123"&amp;IF($D$7="","XYZ",$D$7)&amp;"Separate123"&amp;"Row"&amp;ROW()</f>
        <v/>
      </c>
      <c r="C27" s="1" t="n"/>
      <c r="D27" s="1" t="n"/>
      <c r="E27" s="28">
        <f>IF(AND(F27="",G27=""),"",IF(F27="",0,F27)+IF(G27="",0,G27))</f>
        <v/>
      </c>
      <c r="F27" s="28">
        <f>IF(SUMIF($Q$11:$EQ$11,"R",Q27:EQ27)=0,"",SUMIF($Q$11:$EQ$11,"R",Q27:EQ27))</f>
        <v/>
      </c>
      <c r="G27" s="28">
        <f>IF(SUMIF($Q$11:$EQ$11,"DT",Q27:EQ27)=0,"",SUMIF($Q$11:$EQ$11,"DT",Q27:EQ27))</f>
        <v/>
      </c>
      <c r="H27" s="64" t="n"/>
      <c r="I27" s="64" t="n"/>
      <c r="J27" s="64" t="n"/>
      <c r="K27" s="67" t="n"/>
      <c r="L27" s="67" t="n"/>
      <c r="M27" s="69" t="n"/>
      <c r="N27" s="70" t="n"/>
      <c r="O27" s="72" t="n"/>
      <c r="P27" s="72" t="n"/>
      <c r="Q27" s="5" t="n"/>
      <c r="R27" s="2" t="n"/>
      <c r="S27" s="2" t="n"/>
      <c r="T27" s="2" t="n"/>
      <c r="U27" s="65" t="n"/>
      <c r="V27" s="58" t="n"/>
      <c r="W27" s="2" t="n"/>
      <c r="X27" s="2" t="n"/>
      <c r="Y27" s="2" t="n"/>
      <c r="Z27" s="2" t="n"/>
      <c r="AA27" s="65" t="n"/>
      <c r="AB27" s="58" t="n"/>
      <c r="AC27" s="2" t="n"/>
      <c r="AD27" s="2" t="n"/>
      <c r="AE27" s="2" t="n"/>
      <c r="AF27" s="2" t="n"/>
      <c r="AG27" s="65" t="n"/>
      <c r="AH27" s="58" t="n"/>
      <c r="AI27" s="2" t="n"/>
      <c r="AJ27" s="2" t="n"/>
      <c r="AK27" s="2" t="n"/>
      <c r="AL27" s="2" t="n"/>
      <c r="AM27" s="65" t="n"/>
      <c r="AN27" s="58" t="n"/>
      <c r="AO27" s="2" t="n"/>
      <c r="AP27" s="2" t="n"/>
      <c r="AQ27" s="2" t="n"/>
      <c r="AR27" s="2" t="n"/>
      <c r="AS27" s="65" t="n"/>
      <c r="AT27" s="58" t="n"/>
      <c r="AU27" s="2" t="n"/>
      <c r="AV27" s="2" t="n"/>
      <c r="AW27" s="2" t="n"/>
      <c r="AX27" s="2" t="n"/>
      <c r="AY27" s="65" t="n"/>
      <c r="AZ27" s="58" t="n"/>
      <c r="BA27" s="2" t="n"/>
      <c r="BB27" s="2" t="n"/>
      <c r="BC27" s="2" t="n"/>
      <c r="BD27" s="2" t="n"/>
      <c r="BE27" s="65" t="n"/>
      <c r="BF27" s="58" t="n"/>
      <c r="BG27" s="2" t="n"/>
      <c r="BH27" s="2" t="n"/>
      <c r="BI27" s="2" t="n"/>
      <c r="BJ27" s="2" t="n"/>
      <c r="BK27" s="65" t="n"/>
      <c r="BL27" s="58" t="n"/>
      <c r="BM27" s="2" t="n"/>
      <c r="BN27" s="2" t="n"/>
      <c r="BO27" s="2" t="n"/>
      <c r="BP27" s="2" t="n"/>
      <c r="BQ27" s="65" t="n"/>
      <c r="BR27" s="58" t="n"/>
      <c r="BS27" s="2" t="n"/>
      <c r="BT27" s="2" t="n"/>
      <c r="BU27" s="2" t="n"/>
      <c r="BV27" s="2" t="n"/>
      <c r="BW27" s="65" t="n"/>
      <c r="BX27" s="58" t="n"/>
      <c r="BY27" s="2" t="n"/>
      <c r="BZ27" s="2" t="n"/>
      <c r="CA27" s="2" t="n"/>
      <c r="CB27" s="2" t="n"/>
      <c r="CC27" s="65" t="n"/>
      <c r="CD27" s="58" t="n"/>
      <c r="CE27" s="2" t="n"/>
      <c r="CF27" s="2" t="n"/>
      <c r="CG27" s="2" t="n"/>
      <c r="CH27" s="2" t="n"/>
      <c r="CI27" s="65" t="n"/>
      <c r="CJ27" s="58" t="n"/>
      <c r="CK27" s="2" t="n"/>
      <c r="CL27" s="2" t="n"/>
      <c r="CM27" s="2" t="n"/>
      <c r="CN27" s="2" t="n"/>
      <c r="CO27" s="65" t="n"/>
      <c r="CP27" s="58" t="n"/>
      <c r="CQ27" s="2" t="n"/>
      <c r="CR27" s="2" t="n"/>
      <c r="CS27" s="2" t="n"/>
      <c r="CT27" s="2" t="n"/>
      <c r="CU27" s="65" t="n"/>
      <c r="CV27" s="58" t="n"/>
      <c r="CW27" s="2" t="n"/>
      <c r="CX27" s="2" t="n"/>
      <c r="CY27" s="2" t="n"/>
      <c r="CZ27" s="2" t="n"/>
      <c r="DA27" s="65" t="n"/>
      <c r="DB27" s="58" t="n"/>
      <c r="DC27" s="2" t="n"/>
      <c r="DD27" s="2" t="n"/>
      <c r="DE27" s="2" t="n"/>
      <c r="DF27" s="2" t="n"/>
      <c r="DG27" s="65" t="n"/>
      <c r="DH27" s="58" t="n"/>
      <c r="DI27" s="2" t="n"/>
      <c r="DJ27" s="2" t="n"/>
      <c r="DK27" s="2" t="n"/>
      <c r="DL27" s="2" t="n"/>
      <c r="DM27" s="65" t="n"/>
      <c r="DN27" s="58" t="n"/>
      <c r="DO27" s="2" t="n"/>
      <c r="DP27" s="2" t="n"/>
      <c r="DQ27" s="2" t="n"/>
      <c r="DR27" s="2" t="n"/>
      <c r="DS27" s="65" t="n"/>
      <c r="DT27" s="58" t="n"/>
      <c r="DU27" s="2" t="n"/>
      <c r="DV27" s="2" t="n"/>
      <c r="DW27" s="2" t="n"/>
      <c r="DX27" s="2" t="n"/>
      <c r="DY27" s="65" t="n"/>
      <c r="DZ27" s="58" t="n"/>
      <c r="EA27" s="2" t="n"/>
      <c r="EB27" s="2" t="n"/>
      <c r="EC27" s="2" t="n"/>
      <c r="ED27" s="2" t="n"/>
      <c r="EE27" s="65" t="n"/>
      <c r="EF27" s="58" t="n"/>
      <c r="EG27" s="2" t="n"/>
      <c r="EH27" s="2" t="n"/>
      <c r="EI27" s="2" t="n"/>
      <c r="EJ27" s="2" t="n"/>
      <c r="EK27" s="65" t="n"/>
      <c r="EL27" s="58" t="n"/>
      <c r="EM27" s="2" t="n"/>
      <c r="EN27" s="2" t="n"/>
      <c r="EO27" s="2" t="n"/>
      <c r="EP27" s="2" t="n"/>
      <c r="EQ27" s="65" t="n"/>
    </row>
    <row r="28" customFormat="1" s="15">
      <c r="A28" s="14" t="inlineStr">
        <is>
          <t>Labor</t>
        </is>
      </c>
      <c r="B28" s="18">
        <f>TEXT($C$7,"yyyy-mm-dd")&amp;"Separate123"&amp;IF($D$7="","XYZ",$D$7)&amp;"Separate123"&amp;"Row"&amp;ROW()</f>
        <v/>
      </c>
      <c r="C28" s="1" t="n"/>
      <c r="D28" s="1" t="n"/>
      <c r="E28" s="28">
        <f>IF(AND(F28="",G28=""),"",IF(F28="",0,F28)+IF(G28="",0,G28))</f>
        <v/>
      </c>
      <c r="F28" s="28">
        <f>IF(SUMIF($Q$11:$EQ$11,"R",Q28:EQ28)=0,"",SUMIF($Q$11:$EQ$11,"R",Q28:EQ28))</f>
        <v/>
      </c>
      <c r="G28" s="28">
        <f>IF(SUMIF($Q$11:$EQ$11,"DT",Q28:EQ28)=0,"",SUMIF($Q$11:$EQ$11,"DT",Q28:EQ28))</f>
        <v/>
      </c>
      <c r="H28" s="64" t="n"/>
      <c r="I28" s="64" t="n"/>
      <c r="J28" s="64" t="n"/>
      <c r="K28" s="67" t="n"/>
      <c r="L28" s="67" t="n"/>
      <c r="M28" s="69" t="n"/>
      <c r="N28" s="70" t="n"/>
      <c r="O28" s="72" t="n"/>
      <c r="P28" s="72" t="n"/>
      <c r="Q28" s="5" t="n"/>
      <c r="R28" s="2" t="n"/>
      <c r="S28" s="2" t="n"/>
      <c r="T28" s="2" t="n"/>
      <c r="U28" s="65" t="n"/>
      <c r="V28" s="58" t="n"/>
      <c r="W28" s="2" t="n"/>
      <c r="X28" s="2" t="n"/>
      <c r="Y28" s="2" t="n"/>
      <c r="Z28" s="2" t="n"/>
      <c r="AA28" s="65" t="n"/>
      <c r="AB28" s="58" t="n"/>
      <c r="AC28" s="2" t="n"/>
      <c r="AD28" s="2" t="n"/>
      <c r="AE28" s="2" t="n"/>
      <c r="AF28" s="2" t="n"/>
      <c r="AG28" s="65" t="n"/>
      <c r="AH28" s="58" t="n"/>
      <c r="AI28" s="2" t="n"/>
      <c r="AJ28" s="2" t="n"/>
      <c r="AK28" s="2" t="n"/>
      <c r="AL28" s="2" t="n"/>
      <c r="AM28" s="65" t="n"/>
      <c r="AN28" s="58" t="n"/>
      <c r="AO28" s="2" t="n"/>
      <c r="AP28" s="2" t="n"/>
      <c r="AQ28" s="2" t="n"/>
      <c r="AR28" s="2" t="n"/>
      <c r="AS28" s="65" t="n"/>
      <c r="AT28" s="58" t="n"/>
      <c r="AU28" s="2" t="n"/>
      <c r="AV28" s="2" t="n"/>
      <c r="AW28" s="2" t="n"/>
      <c r="AX28" s="2" t="n"/>
      <c r="AY28" s="65" t="n"/>
      <c r="AZ28" s="58" t="n"/>
      <c r="BA28" s="2" t="n"/>
      <c r="BB28" s="2" t="n"/>
      <c r="BC28" s="2" t="n"/>
      <c r="BD28" s="2" t="n"/>
      <c r="BE28" s="65" t="n"/>
      <c r="BF28" s="58" t="n"/>
      <c r="BG28" s="2" t="n"/>
      <c r="BH28" s="2" t="n"/>
      <c r="BI28" s="2" t="n"/>
      <c r="BJ28" s="2" t="n"/>
      <c r="BK28" s="65" t="n"/>
      <c r="BL28" s="58" t="n"/>
      <c r="BM28" s="2" t="n"/>
      <c r="BN28" s="2" t="n"/>
      <c r="BO28" s="2" t="n"/>
      <c r="BP28" s="2" t="n"/>
      <c r="BQ28" s="65" t="n"/>
      <c r="BR28" s="58" t="n"/>
      <c r="BS28" s="2" t="n"/>
      <c r="BT28" s="2" t="n"/>
      <c r="BU28" s="2" t="n"/>
      <c r="BV28" s="2" t="n"/>
      <c r="BW28" s="65" t="n"/>
      <c r="BX28" s="58" t="n"/>
      <c r="BY28" s="2" t="n"/>
      <c r="BZ28" s="2" t="n"/>
      <c r="CA28" s="2" t="n"/>
      <c r="CB28" s="2" t="n"/>
      <c r="CC28" s="65" t="n"/>
      <c r="CD28" s="58" t="n"/>
      <c r="CE28" s="2" t="n"/>
      <c r="CF28" s="2" t="n"/>
      <c r="CG28" s="2" t="n"/>
      <c r="CH28" s="2" t="n"/>
      <c r="CI28" s="65" t="n"/>
      <c r="CJ28" s="58" t="n"/>
      <c r="CK28" s="2" t="n"/>
      <c r="CL28" s="2" t="n"/>
      <c r="CM28" s="2" t="n"/>
      <c r="CN28" s="2" t="n"/>
      <c r="CO28" s="65" t="n"/>
      <c r="CP28" s="58" t="n"/>
      <c r="CQ28" s="2" t="n"/>
      <c r="CR28" s="2" t="n"/>
      <c r="CS28" s="2" t="n"/>
      <c r="CT28" s="2" t="n"/>
      <c r="CU28" s="65" t="n"/>
      <c r="CV28" s="58" t="n"/>
      <c r="CW28" s="2" t="n"/>
      <c r="CX28" s="2" t="n"/>
      <c r="CY28" s="2" t="n"/>
      <c r="CZ28" s="2" t="n"/>
      <c r="DA28" s="65" t="n"/>
      <c r="DB28" s="58" t="n"/>
      <c r="DC28" s="2" t="n"/>
      <c r="DD28" s="2" t="n"/>
      <c r="DE28" s="2" t="n"/>
      <c r="DF28" s="2" t="n"/>
      <c r="DG28" s="65" t="n"/>
      <c r="DH28" s="58" t="n"/>
      <c r="DI28" s="2" t="n"/>
      <c r="DJ28" s="2" t="n"/>
      <c r="DK28" s="2" t="n"/>
      <c r="DL28" s="2" t="n"/>
      <c r="DM28" s="65" t="n"/>
      <c r="DN28" s="58" t="n"/>
      <c r="DO28" s="2" t="n"/>
      <c r="DP28" s="2" t="n"/>
      <c r="DQ28" s="2" t="n"/>
      <c r="DR28" s="2" t="n"/>
      <c r="DS28" s="65" t="n"/>
      <c r="DT28" s="58" t="n"/>
      <c r="DU28" s="2" t="n"/>
      <c r="DV28" s="2" t="n"/>
      <c r="DW28" s="2" t="n"/>
      <c r="DX28" s="2" t="n"/>
      <c r="DY28" s="65" t="n"/>
      <c r="DZ28" s="58" t="n"/>
      <c r="EA28" s="2" t="n"/>
      <c r="EB28" s="2" t="n"/>
      <c r="EC28" s="2" t="n"/>
      <c r="ED28" s="2" t="n"/>
      <c r="EE28" s="65" t="n"/>
      <c r="EF28" s="58" t="n"/>
      <c r="EG28" s="2" t="n"/>
      <c r="EH28" s="2" t="n"/>
      <c r="EI28" s="2" t="n"/>
      <c r="EJ28" s="2" t="n"/>
      <c r="EK28" s="65" t="n"/>
      <c r="EL28" s="58" t="n"/>
      <c r="EM28" s="2" t="n"/>
      <c r="EN28" s="2" t="n"/>
      <c r="EO28" s="2" t="n"/>
      <c r="EP28" s="2" t="n"/>
      <c r="EQ28" s="65" t="n"/>
    </row>
    <row r="29" customFormat="1" s="15">
      <c r="A29" s="14" t="inlineStr">
        <is>
          <t>Labor</t>
        </is>
      </c>
      <c r="B29" s="18">
        <f>TEXT($C$7,"yyyy-mm-dd")&amp;"Separate123"&amp;IF($D$7="","XYZ",$D$7)&amp;"Separate123"&amp;"Row"&amp;ROW()</f>
        <v/>
      </c>
      <c r="C29" s="1" t="n"/>
      <c r="D29" s="1" t="n"/>
      <c r="E29" s="28">
        <f>IF(AND(F29="",G29=""),"",IF(F29="",0,F29)+IF(G29="",0,G29))</f>
        <v/>
      </c>
      <c r="F29" s="28">
        <f>IF(SUMIF($Q$11:$EQ$11,"R",Q29:EQ29)=0,"",SUMIF($Q$11:$EQ$11,"R",Q29:EQ29))</f>
        <v/>
      </c>
      <c r="G29" s="28">
        <f>IF(SUMIF($Q$11:$EQ$11,"DT",Q29:EQ29)=0,"",SUMIF($Q$11:$EQ$11,"DT",Q29:EQ29))</f>
        <v/>
      </c>
      <c r="H29" s="64" t="n"/>
      <c r="I29" s="64" t="n"/>
      <c r="J29" s="64" t="n"/>
      <c r="K29" s="67" t="n"/>
      <c r="L29" s="67" t="n"/>
      <c r="M29" s="69" t="n"/>
      <c r="N29" s="70" t="n"/>
      <c r="O29" s="72" t="n"/>
      <c r="P29" s="72" t="n"/>
      <c r="Q29" s="5" t="n"/>
      <c r="R29" s="2" t="n"/>
      <c r="S29" s="2" t="n"/>
      <c r="T29" s="2" t="n"/>
      <c r="U29" s="65" t="n"/>
      <c r="V29" s="58" t="n"/>
      <c r="W29" s="2" t="n"/>
      <c r="X29" s="2" t="n"/>
      <c r="Y29" s="2" t="n"/>
      <c r="Z29" s="2" t="n"/>
      <c r="AA29" s="65" t="n"/>
      <c r="AB29" s="58" t="n"/>
      <c r="AC29" s="2" t="n"/>
      <c r="AD29" s="2" t="n"/>
      <c r="AE29" s="2" t="n"/>
      <c r="AF29" s="2" t="n"/>
      <c r="AG29" s="65" t="n"/>
      <c r="AH29" s="58" t="n"/>
      <c r="AI29" s="2" t="n"/>
      <c r="AJ29" s="2" t="n"/>
      <c r="AK29" s="2" t="n"/>
      <c r="AL29" s="2" t="n"/>
      <c r="AM29" s="65" t="n"/>
      <c r="AN29" s="58" t="n"/>
      <c r="AO29" s="2" t="n"/>
      <c r="AP29" s="2" t="n"/>
      <c r="AQ29" s="2" t="n"/>
      <c r="AR29" s="2" t="n"/>
      <c r="AS29" s="65" t="n"/>
      <c r="AT29" s="58" t="n"/>
      <c r="AU29" s="2" t="n"/>
      <c r="AV29" s="2" t="n"/>
      <c r="AW29" s="2" t="n"/>
      <c r="AX29" s="2" t="n"/>
      <c r="AY29" s="65" t="n"/>
      <c r="AZ29" s="58" t="n"/>
      <c r="BA29" s="2" t="n"/>
      <c r="BB29" s="2" t="n"/>
      <c r="BC29" s="2" t="n"/>
      <c r="BD29" s="2" t="n"/>
      <c r="BE29" s="65" t="n"/>
      <c r="BF29" s="58" t="n"/>
      <c r="BG29" s="2" t="n"/>
      <c r="BH29" s="2" t="n"/>
      <c r="BI29" s="2" t="n"/>
      <c r="BJ29" s="2" t="n"/>
      <c r="BK29" s="65" t="n"/>
      <c r="BL29" s="58" t="n"/>
      <c r="BM29" s="2" t="n"/>
      <c r="BN29" s="2" t="n"/>
      <c r="BO29" s="2" t="n"/>
      <c r="BP29" s="2" t="n"/>
      <c r="BQ29" s="65" t="n"/>
      <c r="BR29" s="58" t="n"/>
      <c r="BS29" s="2" t="n"/>
      <c r="BT29" s="2" t="n"/>
      <c r="BU29" s="2" t="n"/>
      <c r="BV29" s="2" t="n"/>
      <c r="BW29" s="65" t="n"/>
      <c r="BX29" s="58" t="n"/>
      <c r="BY29" s="2" t="n"/>
      <c r="BZ29" s="2" t="n"/>
      <c r="CA29" s="2" t="n"/>
      <c r="CB29" s="2" t="n"/>
      <c r="CC29" s="65" t="n"/>
      <c r="CD29" s="58" t="n"/>
      <c r="CE29" s="2" t="n"/>
      <c r="CF29" s="2" t="n"/>
      <c r="CG29" s="2" t="n"/>
      <c r="CH29" s="2" t="n"/>
      <c r="CI29" s="65" t="n"/>
      <c r="CJ29" s="58" t="n"/>
      <c r="CK29" s="2" t="n"/>
      <c r="CL29" s="2" t="n"/>
      <c r="CM29" s="2" t="n"/>
      <c r="CN29" s="2" t="n"/>
      <c r="CO29" s="65" t="n"/>
      <c r="CP29" s="58" t="n"/>
      <c r="CQ29" s="2" t="n"/>
      <c r="CR29" s="2" t="n"/>
      <c r="CS29" s="2" t="n"/>
      <c r="CT29" s="2" t="n"/>
      <c r="CU29" s="65" t="n"/>
      <c r="CV29" s="58" t="n"/>
      <c r="CW29" s="2" t="n"/>
      <c r="CX29" s="2" t="n"/>
      <c r="CY29" s="2" t="n"/>
      <c r="CZ29" s="2" t="n"/>
      <c r="DA29" s="65" t="n"/>
      <c r="DB29" s="58" t="n"/>
      <c r="DC29" s="2" t="n"/>
      <c r="DD29" s="2" t="n"/>
      <c r="DE29" s="2" t="n"/>
      <c r="DF29" s="2" t="n"/>
      <c r="DG29" s="65" t="n"/>
      <c r="DH29" s="58" t="n"/>
      <c r="DI29" s="2" t="n"/>
      <c r="DJ29" s="2" t="n"/>
      <c r="DK29" s="2" t="n"/>
      <c r="DL29" s="2" t="n"/>
      <c r="DM29" s="65" t="n"/>
      <c r="DN29" s="58" t="n"/>
      <c r="DO29" s="2" t="n"/>
      <c r="DP29" s="2" t="n"/>
      <c r="DQ29" s="2" t="n"/>
      <c r="DR29" s="2" t="n"/>
      <c r="DS29" s="65" t="n"/>
      <c r="DT29" s="58" t="n"/>
      <c r="DU29" s="2" t="n"/>
      <c r="DV29" s="2" t="n"/>
      <c r="DW29" s="2" t="n"/>
      <c r="DX29" s="2" t="n"/>
      <c r="DY29" s="65" t="n"/>
      <c r="DZ29" s="58" t="n"/>
      <c r="EA29" s="2" t="n"/>
      <c r="EB29" s="2" t="n"/>
      <c r="EC29" s="2" t="n"/>
      <c r="ED29" s="2" t="n"/>
      <c r="EE29" s="65" t="n"/>
      <c r="EF29" s="58" t="n"/>
      <c r="EG29" s="2" t="n"/>
      <c r="EH29" s="2" t="n"/>
      <c r="EI29" s="2" t="n"/>
      <c r="EJ29" s="2" t="n"/>
      <c r="EK29" s="65" t="n"/>
      <c r="EL29" s="58" t="n"/>
      <c r="EM29" s="2" t="n"/>
      <c r="EN29" s="2" t="n"/>
      <c r="EO29" s="2" t="n"/>
      <c r="EP29" s="2" t="n"/>
      <c r="EQ29" s="65" t="n"/>
    </row>
    <row r="30" customFormat="1" s="15">
      <c r="A30" s="14" t="inlineStr">
        <is>
          <t>Labor</t>
        </is>
      </c>
      <c r="B30" s="18">
        <f>TEXT($C$7,"yyyy-mm-dd")&amp;"Separate123"&amp;IF($D$7="","XYZ",$D$7)&amp;"Separate123"&amp;"Row"&amp;ROW()</f>
        <v/>
      </c>
      <c r="C30" s="1" t="n"/>
      <c r="D30" s="1" t="n"/>
      <c r="E30" s="28">
        <f>IF(AND(F30="",G30=""),"",IF(F30="",0,F30)+IF(G30="",0,G30))</f>
        <v/>
      </c>
      <c r="F30" s="28">
        <f>IF(SUMIF($Q$11:$EQ$11,"R",Q30:EQ30)=0,"",SUMIF($Q$11:$EQ$11,"R",Q30:EQ30))</f>
        <v/>
      </c>
      <c r="G30" s="28">
        <f>IF(SUMIF($Q$11:$EQ$11,"DT",Q30:EQ30)=0,"",SUMIF($Q$11:$EQ$11,"DT",Q30:EQ30))</f>
        <v/>
      </c>
      <c r="H30" s="64" t="n"/>
      <c r="I30" s="64" t="n"/>
      <c r="J30" s="64" t="n"/>
      <c r="K30" s="67" t="n"/>
      <c r="L30" s="67" t="n"/>
      <c r="M30" s="69" t="n"/>
      <c r="N30" s="70" t="n"/>
      <c r="O30" s="72" t="n"/>
      <c r="P30" s="72" t="n"/>
      <c r="Q30" s="5" t="n"/>
      <c r="R30" s="2" t="n"/>
      <c r="S30" s="2" t="n"/>
      <c r="T30" s="2" t="n"/>
      <c r="U30" s="65" t="n"/>
      <c r="V30" s="58" t="n"/>
      <c r="W30" s="2" t="n"/>
      <c r="X30" s="2" t="n"/>
      <c r="Y30" s="2" t="n"/>
      <c r="Z30" s="2" t="n"/>
      <c r="AA30" s="65" t="n"/>
      <c r="AB30" s="58" t="n"/>
      <c r="AC30" s="2" t="n"/>
      <c r="AD30" s="2" t="n"/>
      <c r="AE30" s="2" t="n"/>
      <c r="AF30" s="2" t="n"/>
      <c r="AG30" s="65" t="n"/>
      <c r="AH30" s="58" t="n"/>
      <c r="AI30" s="2" t="n"/>
      <c r="AJ30" s="2" t="n"/>
      <c r="AK30" s="2" t="n"/>
      <c r="AL30" s="2" t="n"/>
      <c r="AM30" s="65" t="n"/>
      <c r="AN30" s="58" t="n"/>
      <c r="AO30" s="2" t="n"/>
      <c r="AP30" s="2" t="n"/>
      <c r="AQ30" s="2" t="n"/>
      <c r="AR30" s="2" t="n"/>
      <c r="AS30" s="65" t="n"/>
      <c r="AT30" s="58" t="n"/>
      <c r="AU30" s="2" t="n"/>
      <c r="AV30" s="2" t="n"/>
      <c r="AW30" s="2" t="n"/>
      <c r="AX30" s="2" t="n"/>
      <c r="AY30" s="65" t="n"/>
      <c r="AZ30" s="58" t="n"/>
      <c r="BA30" s="2" t="n"/>
      <c r="BB30" s="2" t="n"/>
      <c r="BC30" s="2" t="n"/>
      <c r="BD30" s="2" t="n"/>
      <c r="BE30" s="65" t="n"/>
      <c r="BF30" s="58" t="n"/>
      <c r="BG30" s="2" t="n"/>
      <c r="BH30" s="2" t="n"/>
      <c r="BI30" s="2" t="n"/>
      <c r="BJ30" s="2" t="n"/>
      <c r="BK30" s="65" t="n"/>
      <c r="BL30" s="58" t="n"/>
      <c r="BM30" s="2" t="n"/>
      <c r="BN30" s="2" t="n"/>
      <c r="BO30" s="2" t="n"/>
      <c r="BP30" s="2" t="n"/>
      <c r="BQ30" s="65" t="n"/>
      <c r="BR30" s="58" t="n"/>
      <c r="BS30" s="2" t="n"/>
      <c r="BT30" s="2" t="n"/>
      <c r="BU30" s="2" t="n"/>
      <c r="BV30" s="2" t="n"/>
      <c r="BW30" s="65" t="n"/>
      <c r="BX30" s="58" t="n"/>
      <c r="BY30" s="2" t="n"/>
      <c r="BZ30" s="2" t="n"/>
      <c r="CA30" s="2" t="n"/>
      <c r="CB30" s="2" t="n"/>
      <c r="CC30" s="65" t="n"/>
      <c r="CD30" s="58" t="n"/>
      <c r="CE30" s="2" t="n"/>
      <c r="CF30" s="2" t="n"/>
      <c r="CG30" s="2" t="n"/>
      <c r="CH30" s="2" t="n"/>
      <c r="CI30" s="65" t="n"/>
      <c r="CJ30" s="58" t="n"/>
      <c r="CK30" s="2" t="n"/>
      <c r="CL30" s="2" t="n"/>
      <c r="CM30" s="2" t="n"/>
      <c r="CN30" s="2" t="n"/>
      <c r="CO30" s="65" t="n"/>
      <c r="CP30" s="58" t="n"/>
      <c r="CQ30" s="2" t="n"/>
      <c r="CR30" s="2" t="n"/>
      <c r="CS30" s="2" t="n"/>
      <c r="CT30" s="2" t="n"/>
      <c r="CU30" s="65" t="n"/>
      <c r="CV30" s="58" t="n"/>
      <c r="CW30" s="2" t="n"/>
      <c r="CX30" s="2" t="n"/>
      <c r="CY30" s="2" t="n"/>
      <c r="CZ30" s="2" t="n"/>
      <c r="DA30" s="65" t="n"/>
      <c r="DB30" s="58" t="n"/>
      <c r="DC30" s="2" t="n"/>
      <c r="DD30" s="2" t="n"/>
      <c r="DE30" s="2" t="n"/>
      <c r="DF30" s="2" t="n"/>
      <c r="DG30" s="65" t="n"/>
      <c r="DH30" s="58" t="n"/>
      <c r="DI30" s="2" t="n"/>
      <c r="DJ30" s="2" t="n"/>
      <c r="DK30" s="2" t="n"/>
      <c r="DL30" s="2" t="n"/>
      <c r="DM30" s="65" t="n"/>
      <c r="DN30" s="58" t="n"/>
      <c r="DO30" s="2" t="n"/>
      <c r="DP30" s="2" t="n"/>
      <c r="DQ30" s="2" t="n"/>
      <c r="DR30" s="2" t="n"/>
      <c r="DS30" s="65" t="n"/>
      <c r="DT30" s="58" t="n"/>
      <c r="DU30" s="2" t="n"/>
      <c r="DV30" s="2" t="n"/>
      <c r="DW30" s="2" t="n"/>
      <c r="DX30" s="2" t="n"/>
      <c r="DY30" s="65" t="n"/>
      <c r="DZ30" s="58" t="n"/>
      <c r="EA30" s="2" t="n"/>
      <c r="EB30" s="2" t="n"/>
      <c r="EC30" s="2" t="n"/>
      <c r="ED30" s="2" t="n"/>
      <c r="EE30" s="65" t="n"/>
      <c r="EF30" s="58" t="n"/>
      <c r="EG30" s="2" t="n"/>
      <c r="EH30" s="2" t="n"/>
      <c r="EI30" s="2" t="n"/>
      <c r="EJ30" s="2" t="n"/>
      <c r="EK30" s="65" t="n"/>
      <c r="EL30" s="58" t="n"/>
      <c r="EM30" s="2" t="n"/>
      <c r="EN30" s="2" t="n"/>
      <c r="EO30" s="2" t="n"/>
      <c r="EP30" s="2" t="n"/>
      <c r="EQ30" s="65" t="n"/>
    </row>
    <row r="31" customFormat="1" s="15">
      <c r="A31" s="14" t="inlineStr">
        <is>
          <t>Labor</t>
        </is>
      </c>
      <c r="B31" s="18">
        <f>TEXT($C$7,"yyyy-mm-dd")&amp;"Separate123"&amp;IF($D$7="","XYZ",$D$7)&amp;"Separate123"&amp;"Row"&amp;ROW()</f>
        <v/>
      </c>
      <c r="C31" s="1" t="n"/>
      <c r="D31" s="1" t="n"/>
      <c r="E31" s="28">
        <f>IF(AND(F31="",G31=""),"",IF(F31="",0,F31)+IF(G31="",0,G31))</f>
        <v/>
      </c>
      <c r="F31" s="28">
        <f>IF(SUMIF($Q$11:$EQ$11,"R",Q31:EQ31)=0,"",SUMIF($Q$11:$EQ$11,"R",Q31:EQ31))</f>
        <v/>
      </c>
      <c r="G31" s="28">
        <f>IF(SUMIF($Q$11:$EQ$11,"DT",Q31:EQ31)=0,"",SUMIF($Q$11:$EQ$11,"DT",Q31:EQ31))</f>
        <v/>
      </c>
      <c r="H31" s="64" t="n"/>
      <c r="I31" s="64" t="n"/>
      <c r="J31" s="64" t="n"/>
      <c r="K31" s="67" t="n"/>
      <c r="L31" s="67" t="n"/>
      <c r="M31" s="69" t="n"/>
      <c r="N31" s="70" t="n"/>
      <c r="O31" s="72" t="n"/>
      <c r="P31" s="72" t="n"/>
      <c r="Q31" s="5" t="n"/>
      <c r="R31" s="2" t="n"/>
      <c r="S31" s="2" t="n"/>
      <c r="T31" s="2" t="n"/>
      <c r="U31" s="65" t="n"/>
      <c r="V31" s="58" t="n"/>
      <c r="W31" s="2" t="n"/>
      <c r="X31" s="2" t="n"/>
      <c r="Y31" s="2" t="n"/>
      <c r="Z31" s="2" t="n"/>
      <c r="AA31" s="65" t="n"/>
      <c r="AB31" s="58" t="n"/>
      <c r="AC31" s="2" t="n"/>
      <c r="AD31" s="2" t="n"/>
      <c r="AE31" s="2" t="n"/>
      <c r="AF31" s="2" t="n"/>
      <c r="AG31" s="65" t="n"/>
      <c r="AH31" s="58" t="n"/>
      <c r="AI31" s="2" t="n"/>
      <c r="AJ31" s="2" t="n"/>
      <c r="AK31" s="2" t="n"/>
      <c r="AL31" s="2" t="n"/>
      <c r="AM31" s="65" t="n"/>
      <c r="AN31" s="58" t="n"/>
      <c r="AO31" s="2" t="n"/>
      <c r="AP31" s="2" t="n"/>
      <c r="AQ31" s="2" t="n"/>
      <c r="AR31" s="2" t="n"/>
      <c r="AS31" s="65" t="n"/>
      <c r="AT31" s="58" t="n"/>
      <c r="AU31" s="2" t="n"/>
      <c r="AV31" s="2" t="n"/>
      <c r="AW31" s="2" t="n"/>
      <c r="AX31" s="2" t="n"/>
      <c r="AY31" s="65" t="n"/>
      <c r="AZ31" s="58" t="n"/>
      <c r="BA31" s="2" t="n"/>
      <c r="BB31" s="2" t="n"/>
      <c r="BC31" s="2" t="n"/>
      <c r="BD31" s="2" t="n"/>
      <c r="BE31" s="65" t="n"/>
      <c r="BF31" s="58" t="n"/>
      <c r="BG31" s="2" t="n"/>
      <c r="BH31" s="2" t="n"/>
      <c r="BI31" s="2" t="n"/>
      <c r="BJ31" s="2" t="n"/>
      <c r="BK31" s="65" t="n"/>
      <c r="BL31" s="58" t="n"/>
      <c r="BM31" s="2" t="n"/>
      <c r="BN31" s="2" t="n"/>
      <c r="BO31" s="2" t="n"/>
      <c r="BP31" s="2" t="n"/>
      <c r="BQ31" s="65" t="n"/>
      <c r="BR31" s="58" t="n"/>
      <c r="BS31" s="2" t="n"/>
      <c r="BT31" s="2" t="n"/>
      <c r="BU31" s="2" t="n"/>
      <c r="BV31" s="2" t="n"/>
      <c r="BW31" s="65" t="n"/>
      <c r="BX31" s="58" t="n"/>
      <c r="BY31" s="2" t="n"/>
      <c r="BZ31" s="2" t="n"/>
      <c r="CA31" s="2" t="n"/>
      <c r="CB31" s="2" t="n"/>
      <c r="CC31" s="65" t="n"/>
      <c r="CD31" s="58" t="n"/>
      <c r="CE31" s="2" t="n"/>
      <c r="CF31" s="2" t="n"/>
      <c r="CG31" s="2" t="n"/>
      <c r="CH31" s="2" t="n"/>
      <c r="CI31" s="65" t="n"/>
      <c r="CJ31" s="58" t="n"/>
      <c r="CK31" s="2" t="n"/>
      <c r="CL31" s="2" t="n"/>
      <c r="CM31" s="2" t="n"/>
      <c r="CN31" s="2" t="n"/>
      <c r="CO31" s="65" t="n"/>
      <c r="CP31" s="58" t="n"/>
      <c r="CQ31" s="2" t="n"/>
      <c r="CR31" s="2" t="n"/>
      <c r="CS31" s="2" t="n"/>
      <c r="CT31" s="2" t="n"/>
      <c r="CU31" s="65" t="n"/>
      <c r="CV31" s="58" t="n"/>
      <c r="CW31" s="2" t="n"/>
      <c r="CX31" s="2" t="n"/>
      <c r="CY31" s="2" t="n"/>
      <c r="CZ31" s="2" t="n"/>
      <c r="DA31" s="65" t="n"/>
      <c r="DB31" s="58" t="n"/>
      <c r="DC31" s="2" t="n"/>
      <c r="DD31" s="2" t="n"/>
      <c r="DE31" s="2" t="n"/>
      <c r="DF31" s="2" t="n"/>
      <c r="DG31" s="65" t="n"/>
      <c r="DH31" s="58" t="n"/>
      <c r="DI31" s="2" t="n"/>
      <c r="DJ31" s="2" t="n"/>
      <c r="DK31" s="2" t="n"/>
      <c r="DL31" s="2" t="n"/>
      <c r="DM31" s="65" t="n"/>
      <c r="DN31" s="58" t="n"/>
      <c r="DO31" s="2" t="n"/>
      <c r="DP31" s="2" t="n"/>
      <c r="DQ31" s="2" t="n"/>
      <c r="DR31" s="2" t="n"/>
      <c r="DS31" s="65" t="n"/>
      <c r="DT31" s="58" t="n"/>
      <c r="DU31" s="2" t="n"/>
      <c r="DV31" s="2" t="n"/>
      <c r="DW31" s="2" t="n"/>
      <c r="DX31" s="2" t="n"/>
      <c r="DY31" s="65" t="n"/>
      <c r="DZ31" s="58" t="n"/>
      <c r="EA31" s="2" t="n"/>
      <c r="EB31" s="2" t="n"/>
      <c r="EC31" s="2" t="n"/>
      <c r="ED31" s="2" t="n"/>
      <c r="EE31" s="65" t="n"/>
      <c r="EF31" s="58" t="n"/>
      <c r="EG31" s="2" t="n"/>
      <c r="EH31" s="2" t="n"/>
      <c r="EI31" s="2" t="n"/>
      <c r="EJ31" s="2" t="n"/>
      <c r="EK31" s="65" t="n"/>
      <c r="EL31" s="58" t="n"/>
      <c r="EM31" s="2" t="n"/>
      <c r="EN31" s="2" t="n"/>
      <c r="EO31" s="2" t="n"/>
      <c r="EP31" s="2" t="n"/>
      <c r="EQ31" s="65" t="n"/>
    </row>
    <row r="32" ht="6" customHeight="1">
      <c r="A32" s="16" t="inlineStr">
        <is>
          <t>Blank</t>
        </is>
      </c>
      <c r="B32" s="16" t="inlineStr">
        <is>
          <t>Blank</t>
        </is>
      </c>
      <c r="Q32" s="26" t="n"/>
      <c r="V32" s="59" t="n"/>
      <c r="AB32" s="59" t="n"/>
      <c r="AH32" s="59" t="n"/>
      <c r="AN32" s="59" t="n"/>
      <c r="AT32" s="59" t="n"/>
      <c r="AZ32" s="59" t="n"/>
      <c r="BF32" s="59" t="n"/>
      <c r="BL32" s="59" t="n"/>
      <c r="BR32" s="59" t="n"/>
      <c r="BX32" s="59" t="n"/>
      <c r="CD32" s="59" t="n"/>
      <c r="CJ32" s="59" t="n"/>
      <c r="CP32" s="59" t="n"/>
      <c r="CV32" s="59" t="n"/>
      <c r="DB32" s="59" t="n"/>
      <c r="DH32" s="59" t="n"/>
      <c r="DN32" s="59" t="n"/>
      <c r="DT32" s="59" t="n"/>
      <c r="DZ32" s="59" t="n"/>
      <c r="EF32" s="59" t="n"/>
      <c r="EL32" s="59" t="n"/>
    </row>
    <row r="33" ht="21" customFormat="1" customHeight="1" s="37" thickBot="1">
      <c r="A33" s="38" t="inlineStr">
        <is>
          <t>Blank</t>
        </is>
      </c>
      <c r="B33" s="38" t="inlineStr">
        <is>
          <t>Blank</t>
        </is>
      </c>
      <c r="E33" s="86">
        <f>SUM(E12:E32)</f>
        <v/>
      </c>
      <c r="F33" s="86">
        <f>SUM(F12:F32)</f>
        <v/>
      </c>
      <c r="G33" s="86">
        <f>SUM(G12:G32)</f>
        <v/>
      </c>
      <c r="Q33" s="87">
        <f>SUM(Q12:Q32)</f>
        <v/>
      </c>
      <c r="R33" s="86">
        <f>SUM(R12:R32)</f>
        <v/>
      </c>
      <c r="S33" s="86">
        <f>SUM(S12:S32)</f>
        <v/>
      </c>
      <c r="T33" s="86">
        <f>SUM(T12:T32)</f>
        <v/>
      </c>
      <c r="V33" s="60" t="n"/>
      <c r="W33" s="86">
        <f>SUM(W12:W32)</f>
        <v/>
      </c>
      <c r="X33" s="86">
        <f>SUM(X12:X32)</f>
        <v/>
      </c>
      <c r="Y33" s="86">
        <f>SUM(Y12:Y32)</f>
        <v/>
      </c>
      <c r="Z33" s="86">
        <f>SUM(Z12:Z32)</f>
        <v/>
      </c>
      <c r="AB33" s="60" t="n"/>
      <c r="AC33" s="86">
        <f>SUM(AC12:AC32)</f>
        <v/>
      </c>
      <c r="AD33" s="86">
        <f>SUM(AD12:AD32)</f>
        <v/>
      </c>
      <c r="AE33" s="86">
        <f>SUM(AE12:AE32)</f>
        <v/>
      </c>
      <c r="AF33" s="86">
        <f>SUM(AF12:AF32)</f>
        <v/>
      </c>
      <c r="AH33" s="60" t="n"/>
      <c r="AI33" s="86">
        <f>SUM(AI12:AI32)</f>
        <v/>
      </c>
      <c r="AJ33" s="86">
        <f>SUM(AJ12:AJ32)</f>
        <v/>
      </c>
      <c r="AK33" s="86">
        <f>SUM(AK12:AK32)</f>
        <v/>
      </c>
      <c r="AL33" s="86">
        <f>SUM(AL12:AL32)</f>
        <v/>
      </c>
      <c r="AN33" s="60" t="n"/>
      <c r="AO33" s="86">
        <f>SUM(AO12:AO32)</f>
        <v/>
      </c>
      <c r="AP33" s="86">
        <f>SUM(AP12:AP32)</f>
        <v/>
      </c>
      <c r="AQ33" s="86">
        <f>SUM(AQ12:AQ32)</f>
        <v/>
      </c>
      <c r="AR33" s="86">
        <f>SUM(AR12:AR32)</f>
        <v/>
      </c>
      <c r="AT33" s="60" t="n"/>
      <c r="AU33" s="86">
        <f>SUM(AU12:AU32)</f>
        <v/>
      </c>
      <c r="AV33" s="86">
        <f>SUM(AV12:AV32)</f>
        <v/>
      </c>
      <c r="AW33" s="86">
        <f>SUM(AW12:AW32)</f>
        <v/>
      </c>
      <c r="AX33" s="86">
        <f>SUM(AX12:AX32)</f>
        <v/>
      </c>
      <c r="AZ33" s="60" t="n"/>
      <c r="BA33" s="86">
        <f>SUM(BA12:BA32)</f>
        <v/>
      </c>
      <c r="BB33" s="86">
        <f>SUM(BB12:BB32)</f>
        <v/>
      </c>
      <c r="BC33" s="86">
        <f>SUM(BC12:BC32)</f>
        <v/>
      </c>
      <c r="BD33" s="86">
        <f>SUM(BD12:BD32)</f>
        <v/>
      </c>
      <c r="BF33" s="60" t="n"/>
      <c r="BG33" s="86">
        <f>SUM(BG12:BG32)</f>
        <v/>
      </c>
      <c r="BH33" s="86">
        <f>SUM(BH12:BH32)</f>
        <v/>
      </c>
      <c r="BI33" s="86">
        <f>SUM(BI12:BI32)</f>
        <v/>
      </c>
      <c r="BJ33" s="86">
        <f>SUM(BJ12:BJ32)</f>
        <v/>
      </c>
      <c r="BL33" s="60" t="n"/>
      <c r="BM33" s="86">
        <f>SUM(BM12:BM32)</f>
        <v/>
      </c>
      <c r="BN33" s="86">
        <f>SUM(BN12:BN32)</f>
        <v/>
      </c>
      <c r="BO33" s="86">
        <f>SUM(BO12:BO32)</f>
        <v/>
      </c>
      <c r="BP33" s="86">
        <f>SUM(BP12:BP32)</f>
        <v/>
      </c>
      <c r="BR33" s="60" t="n"/>
      <c r="BS33" s="86">
        <f>SUM(BS12:BS32)</f>
        <v/>
      </c>
      <c r="BT33" s="86">
        <f>SUM(BT12:BT32)</f>
        <v/>
      </c>
      <c r="BU33" s="86">
        <f>SUM(BU12:BU32)</f>
        <v/>
      </c>
      <c r="BV33" s="86">
        <f>SUM(BV12:BV32)</f>
        <v/>
      </c>
      <c r="BX33" s="60" t="n"/>
      <c r="BY33" s="86">
        <f>SUM(BY12:BY32)</f>
        <v/>
      </c>
      <c r="BZ33" s="86">
        <f>SUM(BZ12:BZ32)</f>
        <v/>
      </c>
      <c r="CA33" s="86">
        <f>SUM(CA12:CA32)</f>
        <v/>
      </c>
      <c r="CB33" s="86">
        <f>SUM(CB12:CB32)</f>
        <v/>
      </c>
      <c r="CD33" s="60" t="n"/>
      <c r="CE33" s="86">
        <f>SUM(CE12:CE32)</f>
        <v/>
      </c>
      <c r="CF33" s="86">
        <f>SUM(CF12:CF32)</f>
        <v/>
      </c>
      <c r="CG33" s="86">
        <f>SUM(CG12:CG32)</f>
        <v/>
      </c>
      <c r="CH33" s="86">
        <f>SUM(CH12:CH32)</f>
        <v/>
      </c>
      <c r="CJ33" s="60" t="n"/>
      <c r="CK33" s="86">
        <f>SUM(CK12:CK32)</f>
        <v/>
      </c>
      <c r="CL33" s="86">
        <f>SUM(CL12:CL32)</f>
        <v/>
      </c>
      <c r="CM33" s="86">
        <f>SUM(CM12:CM32)</f>
        <v/>
      </c>
      <c r="CN33" s="86">
        <f>SUM(CN12:CN32)</f>
        <v/>
      </c>
      <c r="CP33" s="60" t="n"/>
      <c r="CQ33" s="86">
        <f>SUM(CQ12:CQ32)</f>
        <v/>
      </c>
      <c r="CR33" s="86">
        <f>SUM(CR12:CR32)</f>
        <v/>
      </c>
      <c r="CS33" s="86">
        <f>SUM(CS12:CS32)</f>
        <v/>
      </c>
      <c r="CT33" s="86">
        <f>SUM(CT12:CT32)</f>
        <v/>
      </c>
      <c r="CV33" s="60" t="n"/>
      <c r="CW33" s="86">
        <f>SUM(CW12:CW32)</f>
        <v/>
      </c>
      <c r="CX33" s="86">
        <f>SUM(CX12:CX32)</f>
        <v/>
      </c>
      <c r="CY33" s="86">
        <f>SUM(CY12:CY32)</f>
        <v/>
      </c>
      <c r="CZ33" s="86">
        <f>SUM(CZ12:CZ32)</f>
        <v/>
      </c>
      <c r="DB33" s="60" t="n"/>
      <c r="DC33" s="86">
        <f>SUM(DC12:DC32)</f>
        <v/>
      </c>
      <c r="DD33" s="86">
        <f>SUM(DD12:DD32)</f>
        <v/>
      </c>
      <c r="DE33" s="86">
        <f>SUM(DE12:DE32)</f>
        <v/>
      </c>
      <c r="DF33" s="86">
        <f>SUM(DF12:DF32)</f>
        <v/>
      </c>
      <c r="DH33" s="60" t="n"/>
      <c r="DI33" s="86">
        <f>SUM(DI12:DI32)</f>
        <v/>
      </c>
      <c r="DJ33" s="86">
        <f>SUM(DJ12:DJ32)</f>
        <v/>
      </c>
      <c r="DK33" s="86">
        <f>SUM(DK12:DK32)</f>
        <v/>
      </c>
      <c r="DL33" s="86">
        <f>SUM(DL12:DL32)</f>
        <v/>
      </c>
      <c r="DN33" s="60" t="n"/>
      <c r="DO33" s="86">
        <f>SUM(DO12:DO32)</f>
        <v/>
      </c>
      <c r="DP33" s="86">
        <f>SUM(DP12:DP32)</f>
        <v/>
      </c>
      <c r="DQ33" s="86">
        <f>SUM(DQ12:DQ32)</f>
        <v/>
      </c>
      <c r="DR33" s="86">
        <f>SUM(DR12:DR32)</f>
        <v/>
      </c>
      <c r="DT33" s="60" t="n"/>
      <c r="DU33" s="86">
        <f>SUM(DU12:DU32)</f>
        <v/>
      </c>
      <c r="DV33" s="86">
        <f>SUM(DV12:DV32)</f>
        <v/>
      </c>
      <c r="DW33" s="86">
        <f>SUM(DW12:DW32)</f>
        <v/>
      </c>
      <c r="DX33" s="86">
        <f>SUM(DX12:DX32)</f>
        <v/>
      </c>
      <c r="DZ33" s="60" t="n"/>
      <c r="EA33" s="86">
        <f>SUM(EA12:EA32)</f>
        <v/>
      </c>
      <c r="EB33" s="86">
        <f>SUM(EB12:EB32)</f>
        <v/>
      </c>
      <c r="EC33" s="86">
        <f>SUM(EC12:EC32)</f>
        <v/>
      </c>
      <c r="ED33" s="86">
        <f>SUM(ED12:ED32)</f>
        <v/>
      </c>
      <c r="EF33" s="60" t="n"/>
      <c r="EG33" s="86">
        <f>SUM(EG12:EG32)</f>
        <v/>
      </c>
      <c r="EH33" s="86">
        <f>SUM(EH12:EH32)</f>
        <v/>
      </c>
      <c r="EI33" s="86">
        <f>SUM(EI12:EI32)</f>
        <v/>
      </c>
      <c r="EJ33" s="86">
        <f>SUM(EJ12:EJ32)</f>
        <v/>
      </c>
      <c r="EL33" s="60" t="n"/>
      <c r="EM33" s="86">
        <f>SUM(EM12:EM32)</f>
        <v/>
      </c>
      <c r="EN33" s="86">
        <f>SUM(EN12:EN32)</f>
        <v/>
      </c>
      <c r="EO33" s="86">
        <f>SUM(EO12:EO32)</f>
        <v/>
      </c>
      <c r="EP33" s="86">
        <f>SUM(EP12:EP32)</f>
        <v/>
      </c>
    </row>
    <row r="34" ht="6.6" customHeight="1" thickTop="1">
      <c r="A34" s="16" t="inlineStr">
        <is>
          <t>Blank</t>
        </is>
      </c>
      <c r="B34" s="16" t="inlineStr">
        <is>
          <t>Blank</t>
        </is>
      </c>
      <c r="Q34" s="26" t="n"/>
      <c r="V34" s="59" t="n"/>
      <c r="AB34" s="59" t="n"/>
      <c r="AH34" s="59" t="n"/>
      <c r="AN34" s="59" t="n"/>
      <c r="AT34" s="59" t="n"/>
      <c r="AZ34" s="59" t="n"/>
      <c r="BF34" s="59" t="n"/>
      <c r="BL34" s="59" t="n"/>
      <c r="BR34" s="59" t="n"/>
      <c r="BX34" s="59" t="n"/>
      <c r="CD34" s="59" t="n"/>
      <c r="CJ34" s="59" t="n"/>
      <c r="CP34" s="59" t="n"/>
      <c r="CV34" s="59" t="n"/>
      <c r="DB34" s="59" t="n"/>
      <c r="DH34" s="59" t="n"/>
      <c r="DN34" s="59" t="n"/>
      <c r="DT34" s="59" t="n"/>
      <c r="DZ34" s="59" t="n"/>
      <c r="EF34" s="59" t="n"/>
      <c r="EL34" s="59" t="n"/>
    </row>
    <row r="35" ht="21" customFormat="1" customHeight="1" s="15">
      <c r="A35" s="14" t="n"/>
      <c r="B35" s="19" t="n"/>
      <c r="C35" s="88" t="inlineStr">
        <is>
          <t>EQUIPMENT</t>
        </is>
      </c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43" t="n"/>
      <c r="P35" s="43" t="n"/>
      <c r="Q35" s="44" t="n"/>
      <c r="R35" s="43" t="n"/>
      <c r="S35" s="43" t="n"/>
      <c r="T35" s="43" t="n"/>
      <c r="U35" s="43" t="n"/>
      <c r="V35" s="58" t="n"/>
      <c r="W35" s="43" t="n"/>
      <c r="X35" s="43" t="n"/>
      <c r="Y35" s="43" t="n"/>
      <c r="Z35" s="43" t="n"/>
      <c r="AA35" s="43" t="n"/>
      <c r="AB35" s="58" t="n"/>
      <c r="AC35" s="43" t="n"/>
      <c r="AD35" s="43" t="n"/>
      <c r="AE35" s="43" t="n"/>
      <c r="AF35" s="43" t="n"/>
      <c r="AG35" s="43" t="n"/>
      <c r="AH35" s="58" t="n"/>
      <c r="AI35" s="43" t="n"/>
      <c r="AJ35" s="43" t="n"/>
      <c r="AK35" s="43" t="n"/>
      <c r="AL35" s="43" t="n"/>
      <c r="AM35" s="43" t="n"/>
      <c r="AN35" s="58" t="n"/>
      <c r="AO35" s="43" t="n"/>
      <c r="AP35" s="43" t="n"/>
      <c r="AQ35" s="43" t="n"/>
      <c r="AR35" s="43" t="n"/>
      <c r="AS35" s="43" t="n"/>
      <c r="AT35" s="58" t="n"/>
      <c r="AU35" s="43" t="n"/>
      <c r="AV35" s="43" t="n"/>
      <c r="AW35" s="43" t="n"/>
      <c r="AX35" s="43" t="n"/>
      <c r="AY35" s="43" t="n"/>
      <c r="AZ35" s="58" t="n"/>
      <c r="BA35" s="43" t="n"/>
      <c r="BB35" s="43" t="n"/>
      <c r="BC35" s="43" t="n"/>
      <c r="BD35" s="43" t="n"/>
      <c r="BE35" s="43" t="n"/>
      <c r="BF35" s="58" t="n"/>
      <c r="BG35" s="43" t="n"/>
      <c r="BH35" s="43" t="n"/>
      <c r="BI35" s="43" t="n"/>
      <c r="BJ35" s="43" t="n"/>
      <c r="BK35" s="43" t="n"/>
      <c r="BL35" s="58" t="n"/>
      <c r="BM35" s="43" t="n"/>
      <c r="BN35" s="43" t="n"/>
      <c r="BO35" s="43" t="n"/>
      <c r="BP35" s="43" t="n"/>
      <c r="BQ35" s="43" t="n"/>
      <c r="BR35" s="58" t="n"/>
      <c r="BS35" s="43" t="n"/>
      <c r="BT35" s="43" t="n"/>
      <c r="BU35" s="43" t="n"/>
      <c r="BV35" s="43" t="n"/>
      <c r="BW35" s="43" t="n"/>
      <c r="BX35" s="58" t="n"/>
      <c r="BY35" s="43" t="n"/>
      <c r="BZ35" s="43" t="n"/>
      <c r="CA35" s="43" t="n"/>
      <c r="CB35" s="43" t="n"/>
      <c r="CC35" s="43" t="n"/>
      <c r="CD35" s="58" t="n"/>
      <c r="CE35" s="43" t="n"/>
      <c r="CF35" s="43" t="n"/>
      <c r="CG35" s="43" t="n"/>
      <c r="CH35" s="43" t="n"/>
      <c r="CI35" s="43" t="n"/>
      <c r="CJ35" s="58" t="n"/>
      <c r="CK35" s="43" t="n"/>
      <c r="CL35" s="43" t="n"/>
      <c r="CM35" s="43" t="n"/>
      <c r="CN35" s="43" t="n"/>
      <c r="CO35" s="43" t="n"/>
      <c r="CP35" s="58" t="n"/>
      <c r="CQ35" s="43" t="n"/>
      <c r="CR35" s="43" t="n"/>
      <c r="CS35" s="43" t="n"/>
      <c r="CT35" s="43" t="n"/>
      <c r="CU35" s="43" t="n"/>
      <c r="CV35" s="58" t="n"/>
      <c r="CW35" s="43" t="n"/>
      <c r="CX35" s="43" t="n"/>
      <c r="CY35" s="43" t="n"/>
      <c r="CZ35" s="43" t="n"/>
      <c r="DA35" s="43" t="n"/>
      <c r="DB35" s="58" t="n"/>
      <c r="DC35" s="43" t="n"/>
      <c r="DD35" s="43" t="n"/>
      <c r="DE35" s="43" t="n"/>
      <c r="DF35" s="43" t="n"/>
      <c r="DG35" s="43" t="n"/>
      <c r="DH35" s="58" t="n"/>
      <c r="DI35" s="43" t="n"/>
      <c r="DJ35" s="43" t="n"/>
      <c r="DK35" s="43" t="n"/>
      <c r="DL35" s="43" t="n"/>
      <c r="DM35" s="43" t="n"/>
      <c r="DN35" s="58" t="n"/>
      <c r="DO35" s="43" t="n"/>
      <c r="DP35" s="43" t="n"/>
      <c r="DQ35" s="43" t="n"/>
      <c r="DR35" s="43" t="n"/>
      <c r="DS35" s="43" t="n"/>
      <c r="DT35" s="58" t="n"/>
      <c r="DU35" s="43" t="n"/>
      <c r="DV35" s="43" t="n"/>
      <c r="DW35" s="43" t="n"/>
      <c r="DX35" s="43" t="n"/>
      <c r="DY35" s="43" t="n"/>
      <c r="DZ35" s="58" t="n"/>
      <c r="EA35" s="43" t="n"/>
      <c r="EB35" s="43" t="n"/>
      <c r="EC35" s="43" t="n"/>
      <c r="ED35" s="43" t="n"/>
      <c r="EE35" s="43" t="n"/>
      <c r="EF35" s="58" t="n"/>
      <c r="EG35" s="43" t="n"/>
      <c r="EH35" s="43" t="n"/>
      <c r="EI35" s="43" t="n"/>
      <c r="EJ35" s="43" t="n"/>
      <c r="EK35" s="43" t="n"/>
      <c r="EL35" s="58" t="n"/>
      <c r="EM35" s="43" t="n"/>
      <c r="EN35" s="43" t="n"/>
      <c r="EO35" s="43" t="n"/>
      <c r="EP35" s="43" t="n"/>
      <c r="EQ35" s="43" t="n"/>
    </row>
    <row r="36" ht="28.8" customFormat="1" customHeight="1" s="15">
      <c r="A36" s="14" t="inlineStr">
        <is>
          <t>Equip</t>
        </is>
      </c>
      <c r="B36" s="18">
        <f>TEXT($C$7,"yyyy-mm-dd")&amp;"Separate123"&amp;IF($D$7="","XYZ",$D$7)&amp;"Separate123"&amp;"Row"&amp;ROW()</f>
        <v/>
      </c>
      <c r="C36" s="74" t="inlineStr">
        <is>
          <t>12262094-Shop Equipment/hr/man - H</t>
        </is>
      </c>
      <c r="D36" s="43" t="n"/>
      <c r="E36" s="24">
        <f>IF(SUMIF($Q$11:$EQ$11,"R",Q36:EQ36)+SUMIF($Q$11:$EQ$11,"DT",Q36:EQ36)=0,"",SUMIF($Q$11:$EQ$11,"R",Q36:EQ36)+SUMIF($Q$11:$EQ$11,"DT",Q36:EQ36))</f>
        <v/>
      </c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39">
        <f>SUMIF($H$12:$H$32,"1 - Shop Floor",Q12:Q32)+SUMIF($H$12:$H$32,"1 - Shop Floor",R12:R32)</f>
        <v/>
      </c>
      <c r="R36" s="43" t="n"/>
      <c r="S36" s="43" t="n"/>
      <c r="T36" s="43" t="n"/>
      <c r="U36" s="43" t="n"/>
      <c r="V36" s="58" t="n"/>
      <c r="W36" s="39">
        <f>SUMIF($H$12:$H$32,"1 - Shop Floor",W12:W32)+SUMIF($H$12:$H$32,"1 - Shop Floor",X12:X32)</f>
        <v/>
      </c>
      <c r="X36" s="43" t="n"/>
      <c r="Y36" s="43" t="n"/>
      <c r="Z36" s="43" t="n"/>
      <c r="AA36" s="43" t="n"/>
      <c r="AB36" s="58" t="n"/>
      <c r="AC36" s="39">
        <f>SUMIF($H$12:$H$32,"1 - Shop Floor",AC12:AC32)+SUMIF($H$12:$H$32,"1 - Shop Floor",AD12:AD32)</f>
        <v/>
      </c>
      <c r="AD36" s="43" t="n"/>
      <c r="AE36" s="43" t="n"/>
      <c r="AF36" s="43" t="n"/>
      <c r="AG36" s="43" t="n"/>
      <c r="AH36" s="58" t="n"/>
      <c r="AI36" s="39">
        <f>SUMIF($H$12:$H$32,"1 - Shop Floor",AI12:AI32)+SUMIF($H$12:$H$32,"1 - Shop Floor",AJ12:AJ32)</f>
        <v/>
      </c>
      <c r="AJ36" s="43" t="n"/>
      <c r="AK36" s="43" t="n"/>
      <c r="AL36" s="43" t="n"/>
      <c r="AM36" s="43" t="n"/>
      <c r="AN36" s="58" t="n"/>
      <c r="AO36" s="39">
        <f>SUMIF($H$12:$H$32,"1 - Shop Floor",AO12:AO32)+SUMIF($H$12:$H$32,"1 - Shop Floor",AP12:AP32)</f>
        <v/>
      </c>
      <c r="AP36" s="43" t="n"/>
      <c r="AQ36" s="43" t="n"/>
      <c r="AR36" s="43" t="n"/>
      <c r="AS36" s="43" t="n"/>
      <c r="AT36" s="58" t="n"/>
      <c r="AU36" s="39">
        <f>SUMIF($H$12:$H$32,"1 - Shop Floor",AU12:AU32)+SUMIF($H$12:$H$32,"1 - Shop Floor",AV12:AV32)</f>
        <v/>
      </c>
      <c r="AV36" s="43" t="n"/>
      <c r="AW36" s="43" t="n"/>
      <c r="AX36" s="43" t="n"/>
      <c r="AY36" s="43" t="n"/>
      <c r="AZ36" s="58" t="n"/>
      <c r="BA36" s="39">
        <f>SUMIF($H$12:$H$32,"1 - Shop Floor",BA12:BA32)+SUMIF($H$12:$H$32,"1 - Shop Floor",BB12:BB32)</f>
        <v/>
      </c>
      <c r="BB36" s="43" t="n"/>
      <c r="BC36" s="43" t="n"/>
      <c r="BD36" s="43" t="n"/>
      <c r="BE36" s="43" t="n"/>
      <c r="BF36" s="58" t="n"/>
      <c r="BG36" s="39">
        <f>SUMIF($H$12:$H$32,"1 - Shop Floor",BG12:BG32)+SUMIF($H$12:$H$32,"1 - Shop Floor",BH12:BH32)</f>
        <v/>
      </c>
      <c r="BH36" s="43" t="n"/>
      <c r="BI36" s="43" t="n"/>
      <c r="BJ36" s="43" t="n"/>
      <c r="BK36" s="43" t="n"/>
      <c r="BL36" s="58" t="n"/>
      <c r="BM36" s="39">
        <f>SUMIF($H$12:$H$32,"1 - Shop Floor",BM12:BM32)+SUMIF($H$12:$H$32,"1 - Shop Floor",BN12:BN32)</f>
        <v/>
      </c>
      <c r="BN36" s="43" t="n"/>
      <c r="BO36" s="43" t="n"/>
      <c r="BP36" s="43" t="n"/>
      <c r="BQ36" s="43" t="n"/>
      <c r="BR36" s="58" t="n"/>
      <c r="BS36" s="39">
        <f>SUMIF($H$12:$H$32,"1 - Shop Floor",BS12:BS32)+SUMIF($H$12:$H$32,"1 - Shop Floor",BT12:BT32)</f>
        <v/>
      </c>
      <c r="BT36" s="43" t="n"/>
      <c r="BU36" s="43" t="n"/>
      <c r="BV36" s="43" t="n"/>
      <c r="BW36" s="43" t="n"/>
      <c r="BX36" s="58" t="n"/>
      <c r="BY36" s="39">
        <f>SUMIF($H$12:$H$32,"1 - Shop Floor",BY12:BY32)+SUMIF($H$12:$H$32,"1 - Shop Floor",BZ12:BZ32)</f>
        <v/>
      </c>
      <c r="BZ36" s="43" t="n"/>
      <c r="CA36" s="43" t="n"/>
      <c r="CB36" s="43" t="n"/>
      <c r="CC36" s="43" t="n"/>
      <c r="CD36" s="58" t="n"/>
      <c r="CE36" s="39">
        <f>SUMIF($H$12:$H$32,"1 - Shop Floor",CE12:CE32)+SUMIF($H$12:$H$32,"1 - Shop Floor",CF12:CF32)</f>
        <v/>
      </c>
      <c r="CF36" s="43" t="n"/>
      <c r="CG36" s="43" t="n"/>
      <c r="CH36" s="43" t="n"/>
      <c r="CI36" s="43" t="n"/>
      <c r="CJ36" s="58" t="n"/>
      <c r="CK36" s="39">
        <f>SUMIF($H$12:$H$32,"1 - Shop Floor",CK12:CK32)+SUMIF($H$12:$H$32,"1 - Shop Floor",CL12:CL32)</f>
        <v/>
      </c>
      <c r="CL36" s="43" t="n"/>
      <c r="CM36" s="43" t="n"/>
      <c r="CN36" s="43" t="n"/>
      <c r="CO36" s="43" t="n"/>
      <c r="CP36" s="58" t="n"/>
      <c r="CQ36" s="39">
        <f>SUMIF($H$12:$H$32,"1 - Shop Floor",CQ12:CQ32)+SUMIF($H$12:$H$32,"1 - Shop Floor",CR12:CR32)</f>
        <v/>
      </c>
      <c r="CR36" s="43" t="n"/>
      <c r="CS36" s="43" t="n"/>
      <c r="CT36" s="43" t="n"/>
      <c r="CU36" s="43" t="n"/>
      <c r="CV36" s="58" t="n"/>
      <c r="CW36" s="39">
        <f>SUMIF($H$12:$H$32,"1 - Shop Floor",CW12:CW32)+SUMIF($H$12:$H$32,"1 - Shop Floor",CX12:CX32)</f>
        <v/>
      </c>
      <c r="CX36" s="43" t="n"/>
      <c r="CY36" s="43" t="n"/>
      <c r="CZ36" s="43" t="n"/>
      <c r="DA36" s="43" t="n"/>
      <c r="DB36" s="58" t="n"/>
      <c r="DC36" s="39">
        <f>SUMIF($H$12:$H$32,"1 - Shop Floor",DC12:DC32)+SUMIF($H$12:$H$32,"1 - Shop Floor",DD12:DD32)</f>
        <v/>
      </c>
      <c r="DD36" s="43" t="n"/>
      <c r="DE36" s="43" t="n"/>
      <c r="DF36" s="43" t="n"/>
      <c r="DG36" s="43" t="n"/>
      <c r="DH36" s="58" t="n"/>
      <c r="DI36" s="39">
        <f>SUMIF($H$12:$H$32,"1 - Shop Floor",DI12:DI32)+SUMIF($H$12:$H$32,"1 - Shop Floor",DJ12:DJ32)</f>
        <v/>
      </c>
      <c r="DJ36" s="43" t="n"/>
      <c r="DK36" s="43" t="n"/>
      <c r="DL36" s="43" t="n"/>
      <c r="DM36" s="43" t="n"/>
      <c r="DN36" s="58" t="n"/>
      <c r="DO36" s="39">
        <f>SUMIF($H$12:$H$32,"1 - Shop Floor",DO12:DO32)+SUMIF($H$12:$H$32,"1 - Shop Floor",DP12:DP32)</f>
        <v/>
      </c>
      <c r="DP36" s="43" t="n"/>
      <c r="DQ36" s="43" t="n"/>
      <c r="DR36" s="43" t="n"/>
      <c r="DS36" s="43" t="n"/>
      <c r="DT36" s="58" t="n"/>
      <c r="DU36" s="39">
        <f>SUMIF($H$12:$H$32,"1 - Shop Floor",DU12:DU32)+SUMIF($H$12:$H$32,"1 - Shop Floor",DV12:DV32)</f>
        <v/>
      </c>
      <c r="DV36" s="43" t="n"/>
      <c r="DW36" s="43" t="n"/>
      <c r="DX36" s="43" t="n"/>
      <c r="DY36" s="43" t="n"/>
      <c r="DZ36" s="58" t="n"/>
      <c r="EA36" s="39">
        <f>SUMIF($H$12:$H$32,"1 - Shop Floor",EA12:EA32)+SUMIF($H$12:$H$32,"1 - Shop Floor",EB12:EB32)</f>
        <v/>
      </c>
      <c r="EB36" s="43" t="n"/>
      <c r="EC36" s="43" t="n"/>
      <c r="ED36" s="43" t="n"/>
      <c r="EE36" s="43" t="n"/>
      <c r="EF36" s="58" t="n"/>
      <c r="EG36" s="39">
        <f>SUMIF($H$12:$H$32,"1 - Shop Floor",EG12:EG32)+SUMIF($H$12:$H$32,"1 - Shop Floor",EH12:EH32)</f>
        <v/>
      </c>
      <c r="EH36" s="43" t="n"/>
      <c r="EI36" s="43" t="n"/>
      <c r="EJ36" s="43" t="n"/>
      <c r="EK36" s="43" t="n"/>
      <c r="EL36" s="58" t="n"/>
      <c r="EM36" s="39">
        <f>SUMIF($H$12:$H$32,"1 - Shop Floor",EM12:EM32)+SUMIF($H$12:$H$32,"1 - Shop Floor",EN12:EN32)</f>
        <v/>
      </c>
      <c r="EN36" s="43" t="n"/>
      <c r="EO36" s="43" t="n"/>
      <c r="EP36" s="43" t="n"/>
      <c r="EQ36" s="43" t="n"/>
    </row>
    <row r="37" ht="6.75" customFormat="1" customHeight="1" s="15">
      <c r="A37" s="14" t="inlineStr">
        <is>
          <t>Equip</t>
        </is>
      </c>
      <c r="B37" s="18">
        <f>TEXT($C$7,"yyyy-mm-dd")&amp;"Separate123"&amp;IF($D$7="","XYZ",$D$7)&amp;"Separate123"&amp;"Row"&amp;ROW()</f>
        <v/>
      </c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43" t="n"/>
      <c r="U37" s="43" t="n"/>
      <c r="V37" s="58" t="n"/>
      <c r="W37" s="43" t="n"/>
      <c r="X37" s="43" t="n"/>
      <c r="Y37" s="43" t="n"/>
      <c r="Z37" s="43" t="n"/>
      <c r="AA37" s="43" t="n"/>
      <c r="AB37" s="58" t="n"/>
      <c r="AC37" s="43" t="n"/>
      <c r="AD37" s="43" t="n"/>
      <c r="AE37" s="43" t="n"/>
      <c r="AF37" s="43" t="n"/>
      <c r="AG37" s="43" t="n"/>
      <c r="AH37" s="58" t="n"/>
      <c r="AI37" s="43" t="n"/>
      <c r="AJ37" s="43" t="n"/>
      <c r="AK37" s="43" t="n"/>
      <c r="AL37" s="43" t="n"/>
      <c r="AM37" s="43" t="n"/>
      <c r="AN37" s="58" t="n"/>
      <c r="AO37" s="43" t="n"/>
      <c r="AP37" s="43" t="n"/>
      <c r="AQ37" s="43" t="n"/>
      <c r="AR37" s="43" t="n"/>
      <c r="AS37" s="43" t="n"/>
      <c r="AT37" s="58" t="n"/>
      <c r="AU37" s="43" t="n"/>
      <c r="AV37" s="43" t="n"/>
      <c r="AW37" s="43" t="n"/>
      <c r="AX37" s="43" t="n"/>
      <c r="AY37" s="43" t="n"/>
      <c r="AZ37" s="58" t="n"/>
      <c r="BA37" s="43" t="n"/>
      <c r="BB37" s="43" t="n"/>
      <c r="BC37" s="43" t="n"/>
      <c r="BD37" s="43" t="n"/>
      <c r="BE37" s="43" t="n"/>
      <c r="BF37" s="58" t="n"/>
      <c r="BG37" s="43" t="n"/>
      <c r="BH37" s="43" t="n"/>
      <c r="BI37" s="43" t="n"/>
      <c r="BJ37" s="43" t="n"/>
      <c r="BK37" s="43" t="n"/>
      <c r="BL37" s="58" t="n"/>
      <c r="BM37" s="43" t="n"/>
      <c r="BN37" s="43" t="n"/>
      <c r="BO37" s="43" t="n"/>
      <c r="BP37" s="43" t="n"/>
      <c r="BQ37" s="43" t="n"/>
      <c r="BR37" s="58" t="n"/>
      <c r="BS37" s="43" t="n"/>
      <c r="BT37" s="43" t="n"/>
      <c r="BU37" s="43" t="n"/>
      <c r="BV37" s="43" t="n"/>
      <c r="BW37" s="43" t="n"/>
      <c r="BX37" s="58" t="n"/>
      <c r="BY37" s="43" t="n"/>
      <c r="BZ37" s="43" t="n"/>
      <c r="CA37" s="43" t="n"/>
      <c r="CB37" s="43" t="n"/>
      <c r="CC37" s="43" t="n"/>
      <c r="CD37" s="58" t="n"/>
      <c r="CE37" s="43" t="n"/>
      <c r="CF37" s="43" t="n"/>
      <c r="CG37" s="43" t="n"/>
      <c r="CH37" s="43" t="n"/>
      <c r="CI37" s="43" t="n"/>
      <c r="CJ37" s="58" t="n"/>
      <c r="CK37" s="43" t="n"/>
      <c r="CL37" s="43" t="n"/>
      <c r="CM37" s="43" t="n"/>
      <c r="CN37" s="43" t="n"/>
      <c r="CO37" s="43" t="n"/>
      <c r="CP37" s="58" t="n"/>
      <c r="CQ37" s="43" t="n"/>
      <c r="CR37" s="43" t="n"/>
      <c r="CS37" s="43" t="n"/>
      <c r="CT37" s="43" t="n"/>
      <c r="CU37" s="43" t="n"/>
      <c r="CV37" s="58" t="n"/>
      <c r="CW37" s="43" t="n"/>
      <c r="CX37" s="43" t="n"/>
      <c r="CY37" s="43" t="n"/>
      <c r="CZ37" s="43" t="n"/>
      <c r="DA37" s="43" t="n"/>
      <c r="DB37" s="58" t="n"/>
      <c r="DC37" s="43" t="n"/>
      <c r="DD37" s="43" t="n"/>
      <c r="DE37" s="43" t="n"/>
      <c r="DF37" s="43" t="n"/>
      <c r="DG37" s="43" t="n"/>
      <c r="DH37" s="58" t="n"/>
      <c r="DI37" s="43" t="n"/>
      <c r="DJ37" s="43" t="n"/>
      <c r="DK37" s="43" t="n"/>
      <c r="DL37" s="43" t="n"/>
      <c r="DM37" s="43" t="n"/>
      <c r="DN37" s="58" t="n"/>
      <c r="DO37" s="43" t="n"/>
      <c r="DP37" s="43" t="n"/>
      <c r="DQ37" s="43" t="n"/>
      <c r="DR37" s="43" t="n"/>
      <c r="DS37" s="43" t="n"/>
      <c r="DT37" s="58" t="n"/>
      <c r="DU37" s="43" t="n"/>
      <c r="DV37" s="43" t="n"/>
      <c r="DW37" s="43" t="n"/>
      <c r="DX37" s="43" t="n"/>
      <c r="DY37" s="43" t="n"/>
      <c r="DZ37" s="58" t="n"/>
      <c r="EA37" s="43" t="n"/>
      <c r="EB37" s="43" t="n"/>
      <c r="EC37" s="43" t="n"/>
      <c r="ED37" s="43" t="n"/>
      <c r="EE37" s="43" t="n"/>
      <c r="EF37" s="58" t="n"/>
      <c r="EG37" s="43" t="n"/>
      <c r="EH37" s="43" t="n"/>
      <c r="EI37" s="43" t="n"/>
      <c r="EJ37" s="43" t="n"/>
      <c r="EK37" s="43" t="n"/>
      <c r="EL37" s="58" t="n"/>
      <c r="EM37" s="43" t="n"/>
      <c r="EN37" s="43" t="n"/>
      <c r="EO37" s="43" t="n"/>
      <c r="EP37" s="43" t="n"/>
      <c r="EQ37" s="43" t="n"/>
    </row>
    <row r="38" customFormat="1" s="15">
      <c r="A38" s="14" t="inlineStr">
        <is>
          <t>Equip</t>
        </is>
      </c>
      <c r="B38" s="18">
        <f>TEXT($C$7,"yyyy-mm-dd")&amp;"Separate123"&amp;IF($D$7="","XYZ",$D$7)&amp;"Separate123"&amp;"Row"&amp;ROW()</f>
        <v/>
      </c>
      <c r="C38" s="74" t="inlineStr">
        <is>
          <t>12263001-1/2T Truck - H</t>
        </is>
      </c>
      <c r="D38" s="43" t="n"/>
      <c r="E38" s="24">
        <f>IF(SUMIF($Q$11:$EQ$11,"R",Q38:EQ38)+SUMIF($Q$11:$EQ$11,"DT",Q38:EQ38)=0,"",SUMIF($Q$11:$EQ$11,"R",Q38:EQ38)+SUMIF($Q$11:$EQ$11,"DT",Q38:EQ38))</f>
        <v/>
      </c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6" t="n"/>
      <c r="R38" s="43" t="n"/>
      <c r="S38" s="43" t="n"/>
      <c r="T38" s="43" t="n"/>
      <c r="U38" s="43" t="n"/>
      <c r="V38" s="58" t="n"/>
      <c r="W38" s="3" t="n"/>
      <c r="X38" s="43" t="n"/>
      <c r="Y38" s="43" t="n"/>
      <c r="Z38" s="43" t="n"/>
      <c r="AA38" s="43" t="n"/>
      <c r="AB38" s="58" t="n"/>
      <c r="AC38" s="3" t="n"/>
      <c r="AD38" s="43" t="n"/>
      <c r="AE38" s="43" t="n"/>
      <c r="AF38" s="43" t="n"/>
      <c r="AG38" s="43" t="n"/>
      <c r="AH38" s="58" t="n"/>
      <c r="AI38" s="3" t="n"/>
      <c r="AJ38" s="43" t="n"/>
      <c r="AK38" s="43" t="n"/>
      <c r="AL38" s="43" t="n"/>
      <c r="AM38" s="43" t="n"/>
      <c r="AN38" s="58" t="n"/>
      <c r="AO38" s="3" t="n"/>
      <c r="AP38" s="43" t="n"/>
      <c r="AQ38" s="43" t="n"/>
      <c r="AR38" s="43" t="n"/>
      <c r="AS38" s="43" t="n"/>
      <c r="AT38" s="58" t="n"/>
      <c r="AU38" s="3" t="n"/>
      <c r="AV38" s="43" t="n"/>
      <c r="AW38" s="43" t="n"/>
      <c r="AX38" s="43" t="n"/>
      <c r="AY38" s="43" t="n"/>
      <c r="AZ38" s="58" t="n"/>
      <c r="BA38" s="3" t="n"/>
      <c r="BB38" s="43" t="n"/>
      <c r="BC38" s="43" t="n"/>
      <c r="BD38" s="43" t="n"/>
      <c r="BE38" s="43" t="n"/>
      <c r="BF38" s="58" t="n"/>
      <c r="BG38" s="3" t="n"/>
      <c r="BH38" s="43" t="n"/>
      <c r="BI38" s="43" t="n"/>
      <c r="BJ38" s="43" t="n"/>
      <c r="BK38" s="43" t="n"/>
      <c r="BL38" s="58" t="n"/>
      <c r="BM38" s="3" t="n"/>
      <c r="BN38" s="43" t="n"/>
      <c r="BO38" s="43" t="n"/>
      <c r="BP38" s="43" t="n"/>
      <c r="BQ38" s="43" t="n"/>
      <c r="BR38" s="58" t="n"/>
      <c r="BS38" s="3" t="n"/>
      <c r="BT38" s="43" t="n"/>
      <c r="BU38" s="43" t="n"/>
      <c r="BV38" s="43" t="n"/>
      <c r="BW38" s="43" t="n"/>
      <c r="BX38" s="58" t="n"/>
      <c r="BY38" s="3" t="n"/>
      <c r="BZ38" s="43" t="n"/>
      <c r="CA38" s="43" t="n"/>
      <c r="CB38" s="43" t="n"/>
      <c r="CC38" s="43" t="n"/>
      <c r="CD38" s="58" t="n"/>
      <c r="CE38" s="3" t="n"/>
      <c r="CF38" s="43" t="n"/>
      <c r="CG38" s="43" t="n"/>
      <c r="CH38" s="43" t="n"/>
      <c r="CI38" s="43" t="n"/>
      <c r="CJ38" s="58" t="n"/>
      <c r="CK38" s="3" t="n"/>
      <c r="CL38" s="43" t="n"/>
      <c r="CM38" s="43" t="n"/>
      <c r="CN38" s="43" t="n"/>
      <c r="CO38" s="43" t="n"/>
      <c r="CP38" s="58" t="n"/>
      <c r="CQ38" s="3" t="n"/>
      <c r="CR38" s="43" t="n"/>
      <c r="CS38" s="43" t="n"/>
      <c r="CT38" s="43" t="n"/>
      <c r="CU38" s="43" t="n"/>
      <c r="CV38" s="58" t="n"/>
      <c r="CW38" s="3" t="n"/>
      <c r="CX38" s="43" t="n"/>
      <c r="CY38" s="43" t="n"/>
      <c r="CZ38" s="43" t="n"/>
      <c r="DA38" s="43" t="n"/>
      <c r="DB38" s="58" t="n"/>
      <c r="DC38" s="3" t="n"/>
      <c r="DD38" s="43" t="n"/>
      <c r="DE38" s="43" t="n"/>
      <c r="DF38" s="43" t="n"/>
      <c r="DG38" s="43" t="n"/>
      <c r="DH38" s="58" t="n"/>
      <c r="DI38" s="3" t="n"/>
      <c r="DJ38" s="43" t="n"/>
      <c r="DK38" s="43" t="n"/>
      <c r="DL38" s="43" t="n"/>
      <c r="DM38" s="43" t="n"/>
      <c r="DN38" s="58" t="n"/>
      <c r="DO38" s="3" t="n"/>
      <c r="DP38" s="43" t="n"/>
      <c r="DQ38" s="43" t="n"/>
      <c r="DR38" s="43" t="n"/>
      <c r="DS38" s="43" t="n"/>
      <c r="DT38" s="58" t="n"/>
      <c r="DU38" s="3" t="n"/>
      <c r="DV38" s="43" t="n"/>
      <c r="DW38" s="43" t="n"/>
      <c r="DX38" s="43" t="n"/>
      <c r="DY38" s="43" t="n"/>
      <c r="DZ38" s="58" t="n"/>
      <c r="EA38" s="3" t="n"/>
      <c r="EB38" s="43" t="n"/>
      <c r="EC38" s="43" t="n"/>
      <c r="ED38" s="43" t="n"/>
      <c r="EE38" s="43" t="n"/>
      <c r="EF38" s="58" t="n"/>
      <c r="EG38" s="3" t="n"/>
      <c r="EH38" s="43" t="n"/>
      <c r="EI38" s="43" t="n"/>
      <c r="EJ38" s="43" t="n"/>
      <c r="EK38" s="43" t="n"/>
      <c r="EL38" s="58" t="n"/>
      <c r="EM38" s="3" t="n"/>
      <c r="EN38" s="43" t="n"/>
      <c r="EO38" s="43" t="n"/>
      <c r="EP38" s="43" t="n"/>
      <c r="EQ38" s="43" t="n"/>
    </row>
    <row r="39" ht="28.8" customFormat="1" customHeight="1" s="15">
      <c r="A39" s="14" t="inlineStr">
        <is>
          <t>Equip</t>
        </is>
      </c>
      <c r="B39" s="18">
        <f>TEXT($C$7,"yyyy-mm-dd")&amp;"Separate123"&amp;IF($D$7="","XYZ",$D$7)&amp;"Separate123"&amp;"Row"&amp;ROW()</f>
        <v/>
      </c>
      <c r="C39" s="74" t="inlineStr">
        <is>
          <t>12263110-Truck - Fuel/Delivery 1-Ton + - H</t>
        </is>
      </c>
      <c r="D39" s="43" t="n"/>
      <c r="E39" s="24">
        <f>IF(SUMIF($Q$11:$EQ$11,"R",Q39:EQ39)+SUMIF($Q$11:$EQ$11,"DT",Q39:EQ39)=0,"",SUMIF($Q$11:$EQ$11,"R",Q39:EQ39)+SUMIF($Q$11:$EQ$11,"DT",Q39:EQ39))</f>
        <v/>
      </c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6" t="n"/>
      <c r="R39" s="43" t="n"/>
      <c r="S39" s="43" t="n"/>
      <c r="T39" s="43" t="n"/>
      <c r="U39" s="43" t="n"/>
      <c r="V39" s="58" t="n"/>
      <c r="W39" s="3" t="n"/>
      <c r="X39" s="43" t="n"/>
      <c r="Y39" s="43" t="n"/>
      <c r="Z39" s="43" t="n"/>
      <c r="AA39" s="43" t="n"/>
      <c r="AB39" s="58" t="n"/>
      <c r="AC39" s="3" t="n"/>
      <c r="AD39" s="43" t="n"/>
      <c r="AE39" s="43" t="n"/>
      <c r="AF39" s="43" t="n"/>
      <c r="AG39" s="43" t="n"/>
      <c r="AH39" s="58" t="n"/>
      <c r="AI39" s="3" t="n"/>
      <c r="AJ39" s="43" t="n"/>
      <c r="AK39" s="43" t="n"/>
      <c r="AL39" s="43" t="n"/>
      <c r="AM39" s="43" t="n"/>
      <c r="AN39" s="58" t="n"/>
      <c r="AO39" s="3" t="n"/>
      <c r="AP39" s="43" t="n"/>
      <c r="AQ39" s="43" t="n"/>
      <c r="AR39" s="43" t="n"/>
      <c r="AS39" s="43" t="n"/>
      <c r="AT39" s="58" t="n"/>
      <c r="AU39" s="3" t="n"/>
      <c r="AV39" s="43" t="n"/>
      <c r="AW39" s="43" t="n"/>
      <c r="AX39" s="43" t="n"/>
      <c r="AY39" s="43" t="n"/>
      <c r="AZ39" s="58" t="n"/>
      <c r="BA39" s="3" t="n"/>
      <c r="BB39" s="43" t="n"/>
      <c r="BC39" s="43" t="n"/>
      <c r="BD39" s="43" t="n"/>
      <c r="BE39" s="43" t="n"/>
      <c r="BF39" s="58" t="n"/>
      <c r="BG39" s="3" t="n"/>
      <c r="BH39" s="43" t="n"/>
      <c r="BI39" s="43" t="n"/>
      <c r="BJ39" s="43" t="n"/>
      <c r="BK39" s="43" t="n"/>
      <c r="BL39" s="58" t="n"/>
      <c r="BM39" s="3" t="n"/>
      <c r="BN39" s="43" t="n"/>
      <c r="BO39" s="43" t="n"/>
      <c r="BP39" s="43" t="n"/>
      <c r="BQ39" s="43" t="n"/>
      <c r="BR39" s="58" t="n"/>
      <c r="BS39" s="3" t="n"/>
      <c r="BT39" s="43" t="n"/>
      <c r="BU39" s="43" t="n"/>
      <c r="BV39" s="43" t="n"/>
      <c r="BW39" s="43" t="n"/>
      <c r="BX39" s="58" t="n"/>
      <c r="BY39" s="3" t="n"/>
      <c r="BZ39" s="43" t="n"/>
      <c r="CA39" s="43" t="n"/>
      <c r="CB39" s="43" t="n"/>
      <c r="CC39" s="43" t="n"/>
      <c r="CD39" s="58" t="n"/>
      <c r="CE39" s="3" t="n"/>
      <c r="CF39" s="43" t="n"/>
      <c r="CG39" s="43" t="n"/>
      <c r="CH39" s="43" t="n"/>
      <c r="CI39" s="43" t="n"/>
      <c r="CJ39" s="58" t="n"/>
      <c r="CK39" s="3" t="n"/>
      <c r="CL39" s="43" t="n"/>
      <c r="CM39" s="43" t="n"/>
      <c r="CN39" s="43" t="n"/>
      <c r="CO39" s="43" t="n"/>
      <c r="CP39" s="58" t="n"/>
      <c r="CQ39" s="3" t="n"/>
      <c r="CR39" s="43" t="n"/>
      <c r="CS39" s="43" t="n"/>
      <c r="CT39" s="43" t="n"/>
      <c r="CU39" s="43" t="n"/>
      <c r="CV39" s="58" t="n"/>
      <c r="CW39" s="3" t="n"/>
      <c r="CX39" s="43" t="n"/>
      <c r="CY39" s="43" t="n"/>
      <c r="CZ39" s="43" t="n"/>
      <c r="DA39" s="43" t="n"/>
      <c r="DB39" s="58" t="n"/>
      <c r="DC39" s="3" t="n"/>
      <c r="DD39" s="43" t="n"/>
      <c r="DE39" s="43" t="n"/>
      <c r="DF39" s="43" t="n"/>
      <c r="DG39" s="43" t="n"/>
      <c r="DH39" s="58" t="n"/>
      <c r="DI39" s="3" t="n"/>
      <c r="DJ39" s="43" t="n"/>
      <c r="DK39" s="43" t="n"/>
      <c r="DL39" s="43" t="n"/>
      <c r="DM39" s="43" t="n"/>
      <c r="DN39" s="58" t="n"/>
      <c r="DO39" s="3" t="n"/>
      <c r="DP39" s="43" t="n"/>
      <c r="DQ39" s="43" t="n"/>
      <c r="DR39" s="43" t="n"/>
      <c r="DS39" s="43" t="n"/>
      <c r="DT39" s="58" t="n"/>
      <c r="DU39" s="3" t="n"/>
      <c r="DV39" s="43" t="n"/>
      <c r="DW39" s="43" t="n"/>
      <c r="DX39" s="43" t="n"/>
      <c r="DY39" s="43" t="n"/>
      <c r="DZ39" s="58" t="n"/>
      <c r="EA39" s="3" t="n"/>
      <c r="EB39" s="43" t="n"/>
      <c r="EC39" s="43" t="n"/>
      <c r="ED39" s="43" t="n"/>
      <c r="EE39" s="43" t="n"/>
      <c r="EF39" s="58" t="n"/>
      <c r="EG39" s="3" t="n"/>
      <c r="EH39" s="43" t="n"/>
      <c r="EI39" s="43" t="n"/>
      <c r="EJ39" s="43" t="n"/>
      <c r="EK39" s="43" t="n"/>
      <c r="EL39" s="58" t="n"/>
      <c r="EM39" s="3" t="n"/>
      <c r="EN39" s="43" t="n"/>
      <c r="EO39" s="43" t="n"/>
      <c r="EP39" s="43" t="n"/>
      <c r="EQ39" s="43" t="n"/>
    </row>
    <row r="40" ht="28.8" customFormat="1" customHeight="1" s="15">
      <c r="A40" s="14" t="inlineStr">
        <is>
          <t>Equip</t>
        </is>
      </c>
      <c r="B40" s="18">
        <f>TEXT($C$7,"yyyy-mm-dd")&amp;"Separate123"&amp;IF($D$7="","XYZ",$D$7)&amp;"Separate123"&amp;"Row"&amp;ROW()</f>
        <v/>
      </c>
      <c r="C40" s="74" t="inlineStr">
        <is>
          <t>12262000-Leica RTC360 Scanner</t>
        </is>
      </c>
      <c r="D40" s="43" t="n"/>
      <c r="E40" s="24">
        <f>IF(SUMIF($Q$11:$EQ$11,"R",Q40:EQ40)+SUMIF($Q$11:$EQ$11,"DT",Q40:EQ40)=0,"",SUMIF($Q$11:$EQ$11,"R",Q40:EQ40)+SUMIF($Q$11:$EQ$11,"DT",Q40:EQ40))</f>
        <v/>
      </c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6" t="n"/>
      <c r="R40" s="43" t="n"/>
      <c r="S40" s="43" t="n"/>
      <c r="T40" s="43" t="n"/>
      <c r="U40" s="43" t="n"/>
      <c r="V40" s="58" t="n"/>
      <c r="W40" s="3" t="n"/>
      <c r="X40" s="43" t="n"/>
      <c r="Y40" s="43" t="n"/>
      <c r="Z40" s="43" t="n"/>
      <c r="AA40" s="43" t="n"/>
      <c r="AB40" s="58" t="n"/>
      <c r="AC40" s="3" t="n"/>
      <c r="AD40" s="43" t="n"/>
      <c r="AE40" s="43" t="n"/>
      <c r="AF40" s="43" t="n"/>
      <c r="AG40" s="43" t="n"/>
      <c r="AH40" s="58" t="n"/>
      <c r="AI40" s="3" t="n"/>
      <c r="AJ40" s="43" t="n"/>
      <c r="AK40" s="43" t="n"/>
      <c r="AL40" s="43" t="n"/>
      <c r="AM40" s="43" t="n"/>
      <c r="AN40" s="58" t="n"/>
      <c r="AO40" s="3" t="n"/>
      <c r="AP40" s="43" t="n"/>
      <c r="AQ40" s="43" t="n"/>
      <c r="AR40" s="43" t="n"/>
      <c r="AS40" s="43" t="n"/>
      <c r="AT40" s="58" t="n"/>
      <c r="AU40" s="3" t="n"/>
      <c r="AV40" s="43" t="n"/>
      <c r="AW40" s="43" t="n"/>
      <c r="AX40" s="43" t="n"/>
      <c r="AY40" s="43" t="n"/>
      <c r="AZ40" s="58" t="n"/>
      <c r="BA40" s="3" t="n"/>
      <c r="BB40" s="43" t="n"/>
      <c r="BC40" s="43" t="n"/>
      <c r="BD40" s="43" t="n"/>
      <c r="BE40" s="43" t="n"/>
      <c r="BF40" s="58" t="n"/>
      <c r="BG40" s="3" t="n"/>
      <c r="BH40" s="43" t="n"/>
      <c r="BI40" s="43" t="n"/>
      <c r="BJ40" s="43" t="n"/>
      <c r="BK40" s="43" t="n"/>
      <c r="BL40" s="58" t="n"/>
      <c r="BM40" s="3" t="n"/>
      <c r="BN40" s="43" t="n"/>
      <c r="BO40" s="43" t="n"/>
      <c r="BP40" s="43" t="n"/>
      <c r="BQ40" s="43" t="n"/>
      <c r="BR40" s="58" t="n"/>
      <c r="BS40" s="3" t="n"/>
      <c r="BT40" s="43" t="n"/>
      <c r="BU40" s="43" t="n"/>
      <c r="BV40" s="43" t="n"/>
      <c r="BW40" s="43" t="n"/>
      <c r="BX40" s="58" t="n"/>
      <c r="BY40" s="3" t="n"/>
      <c r="BZ40" s="43" t="n"/>
      <c r="CA40" s="43" t="n"/>
      <c r="CB40" s="43" t="n"/>
      <c r="CC40" s="43" t="n"/>
      <c r="CD40" s="58" t="n"/>
      <c r="CE40" s="3" t="n"/>
      <c r="CF40" s="43" t="n"/>
      <c r="CG40" s="43" t="n"/>
      <c r="CH40" s="43" t="n"/>
      <c r="CI40" s="43" t="n"/>
      <c r="CJ40" s="58" t="n"/>
      <c r="CK40" s="3" t="n"/>
      <c r="CL40" s="43" t="n"/>
      <c r="CM40" s="43" t="n"/>
      <c r="CN40" s="43" t="n"/>
      <c r="CO40" s="43" t="n"/>
      <c r="CP40" s="58" t="n"/>
      <c r="CQ40" s="3" t="n"/>
      <c r="CR40" s="43" t="n"/>
      <c r="CS40" s="43" t="n"/>
      <c r="CT40" s="43" t="n"/>
      <c r="CU40" s="43" t="n"/>
      <c r="CV40" s="58" t="n"/>
      <c r="CW40" s="3" t="n"/>
      <c r="CX40" s="43" t="n"/>
      <c r="CY40" s="43" t="n"/>
      <c r="CZ40" s="43" t="n"/>
      <c r="DA40" s="43" t="n"/>
      <c r="DB40" s="58" t="n"/>
      <c r="DC40" s="3" t="n"/>
      <c r="DD40" s="43" t="n"/>
      <c r="DE40" s="43" t="n"/>
      <c r="DF40" s="43" t="n"/>
      <c r="DG40" s="43" t="n"/>
      <c r="DH40" s="58" t="n"/>
      <c r="DI40" s="3" t="n"/>
      <c r="DJ40" s="43" t="n"/>
      <c r="DK40" s="43" t="n"/>
      <c r="DL40" s="43" t="n"/>
      <c r="DM40" s="43" t="n"/>
      <c r="DN40" s="58" t="n"/>
      <c r="DO40" s="3" t="n"/>
      <c r="DP40" s="43" t="n"/>
      <c r="DQ40" s="43" t="n"/>
      <c r="DR40" s="43" t="n"/>
      <c r="DS40" s="43" t="n"/>
      <c r="DT40" s="58" t="n"/>
      <c r="DU40" s="3" t="n"/>
      <c r="DV40" s="43" t="n"/>
      <c r="DW40" s="43" t="n"/>
      <c r="DX40" s="43" t="n"/>
      <c r="DY40" s="43" t="n"/>
      <c r="DZ40" s="58" t="n"/>
      <c r="EA40" s="3" t="n"/>
      <c r="EB40" s="43" t="n"/>
      <c r="EC40" s="43" t="n"/>
      <c r="ED40" s="43" t="n"/>
      <c r="EE40" s="43" t="n"/>
      <c r="EF40" s="58" t="n"/>
      <c r="EG40" s="3" t="n"/>
      <c r="EH40" s="43" t="n"/>
      <c r="EI40" s="43" t="n"/>
      <c r="EJ40" s="43" t="n"/>
      <c r="EK40" s="43" t="n"/>
      <c r="EL40" s="58" t="n"/>
      <c r="EM40" s="3" t="n"/>
      <c r="EN40" s="43" t="n"/>
      <c r="EO40" s="43" t="n"/>
      <c r="EP40" s="43" t="n"/>
      <c r="EQ40" s="43" t="n"/>
    </row>
    <row r="41" ht="6.75" customFormat="1" customHeight="1" s="15">
      <c r="A41" s="14" t="inlineStr">
        <is>
          <t>Equip</t>
        </is>
      </c>
      <c r="B41" s="18">
        <f>TEXT($C$7,"yyyy-mm-dd")&amp;"Separate123"&amp;IF($D$7="","XYZ",$D$7)&amp;"Separate123"&amp;"Row"&amp;ROW()</f>
        <v/>
      </c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43" t="n"/>
      <c r="U41" s="43" t="n"/>
      <c r="V41" s="58" t="n"/>
      <c r="W41" s="43" t="n"/>
      <c r="X41" s="43" t="n"/>
      <c r="Y41" s="43" t="n"/>
      <c r="Z41" s="43" t="n"/>
      <c r="AA41" s="43" t="n"/>
      <c r="AB41" s="58" t="n"/>
      <c r="AC41" s="43" t="n"/>
      <c r="AD41" s="43" t="n"/>
      <c r="AE41" s="43" t="n"/>
      <c r="AF41" s="43" t="n"/>
      <c r="AG41" s="43" t="n"/>
      <c r="AH41" s="58" t="n"/>
      <c r="AI41" s="43" t="n"/>
      <c r="AJ41" s="43" t="n"/>
      <c r="AK41" s="43" t="n"/>
      <c r="AL41" s="43" t="n"/>
      <c r="AM41" s="43" t="n"/>
      <c r="AN41" s="58" t="n"/>
      <c r="AO41" s="43" t="n"/>
      <c r="AP41" s="43" t="n"/>
      <c r="AQ41" s="43" t="n"/>
      <c r="AR41" s="43" t="n"/>
      <c r="AS41" s="43" t="n"/>
      <c r="AT41" s="58" t="n"/>
      <c r="AU41" s="43" t="n"/>
      <c r="AV41" s="43" t="n"/>
      <c r="AW41" s="43" t="n"/>
      <c r="AX41" s="43" t="n"/>
      <c r="AY41" s="43" t="n"/>
      <c r="AZ41" s="58" t="n"/>
      <c r="BA41" s="43" t="n"/>
      <c r="BB41" s="43" t="n"/>
      <c r="BC41" s="43" t="n"/>
      <c r="BD41" s="43" t="n"/>
      <c r="BE41" s="43" t="n"/>
      <c r="BF41" s="58" t="n"/>
      <c r="BG41" s="43" t="n"/>
      <c r="BH41" s="43" t="n"/>
      <c r="BI41" s="43" t="n"/>
      <c r="BJ41" s="43" t="n"/>
      <c r="BK41" s="43" t="n"/>
      <c r="BL41" s="58" t="n"/>
      <c r="BM41" s="43" t="n"/>
      <c r="BN41" s="43" t="n"/>
      <c r="BO41" s="43" t="n"/>
      <c r="BP41" s="43" t="n"/>
      <c r="BQ41" s="43" t="n"/>
      <c r="BR41" s="58" t="n"/>
      <c r="BS41" s="43" t="n"/>
      <c r="BT41" s="43" t="n"/>
      <c r="BU41" s="43" t="n"/>
      <c r="BV41" s="43" t="n"/>
      <c r="BW41" s="43" t="n"/>
      <c r="BX41" s="58" t="n"/>
      <c r="BY41" s="43" t="n"/>
      <c r="BZ41" s="43" t="n"/>
      <c r="CA41" s="43" t="n"/>
      <c r="CB41" s="43" t="n"/>
      <c r="CC41" s="43" t="n"/>
      <c r="CD41" s="58" t="n"/>
      <c r="CE41" s="43" t="n"/>
      <c r="CF41" s="43" t="n"/>
      <c r="CG41" s="43" t="n"/>
      <c r="CH41" s="43" t="n"/>
      <c r="CI41" s="43" t="n"/>
      <c r="CJ41" s="58" t="n"/>
      <c r="CK41" s="43" t="n"/>
      <c r="CL41" s="43" t="n"/>
      <c r="CM41" s="43" t="n"/>
      <c r="CN41" s="43" t="n"/>
      <c r="CO41" s="43" t="n"/>
      <c r="CP41" s="58" t="n"/>
      <c r="CQ41" s="43" t="n"/>
      <c r="CR41" s="43" t="n"/>
      <c r="CS41" s="43" t="n"/>
      <c r="CT41" s="43" t="n"/>
      <c r="CU41" s="43" t="n"/>
      <c r="CV41" s="58" t="n"/>
      <c r="CW41" s="43" t="n"/>
      <c r="CX41" s="43" t="n"/>
      <c r="CY41" s="43" t="n"/>
      <c r="CZ41" s="43" t="n"/>
      <c r="DA41" s="43" t="n"/>
      <c r="DB41" s="58" t="n"/>
      <c r="DC41" s="43" t="n"/>
      <c r="DD41" s="43" t="n"/>
      <c r="DE41" s="43" t="n"/>
      <c r="DF41" s="43" t="n"/>
      <c r="DG41" s="43" t="n"/>
      <c r="DH41" s="58" t="n"/>
      <c r="DI41" s="43" t="n"/>
      <c r="DJ41" s="43" t="n"/>
      <c r="DK41" s="43" t="n"/>
      <c r="DL41" s="43" t="n"/>
      <c r="DM41" s="43" t="n"/>
      <c r="DN41" s="58" t="n"/>
      <c r="DO41" s="43" t="n"/>
      <c r="DP41" s="43" t="n"/>
      <c r="DQ41" s="43" t="n"/>
      <c r="DR41" s="43" t="n"/>
      <c r="DS41" s="43" t="n"/>
      <c r="DT41" s="58" t="n"/>
      <c r="DU41" s="43" t="n"/>
      <c r="DV41" s="43" t="n"/>
      <c r="DW41" s="43" t="n"/>
      <c r="DX41" s="43" t="n"/>
      <c r="DY41" s="43" t="n"/>
      <c r="DZ41" s="58" t="n"/>
      <c r="EA41" s="43" t="n"/>
      <c r="EB41" s="43" t="n"/>
      <c r="EC41" s="43" t="n"/>
      <c r="ED41" s="43" t="n"/>
      <c r="EE41" s="43" t="n"/>
      <c r="EF41" s="58" t="n"/>
      <c r="EG41" s="43" t="n"/>
      <c r="EH41" s="43" t="n"/>
      <c r="EI41" s="43" t="n"/>
      <c r="EJ41" s="43" t="n"/>
      <c r="EK41" s="43" t="n"/>
      <c r="EL41" s="58" t="n"/>
      <c r="EM41" s="43" t="n"/>
      <c r="EN41" s="43" t="n"/>
      <c r="EO41" s="43" t="n"/>
      <c r="EP41" s="43" t="n"/>
      <c r="EQ41" s="43" t="n"/>
    </row>
    <row r="42" customFormat="1" s="15">
      <c r="A42" s="14" t="inlineStr">
        <is>
          <t>Equip</t>
        </is>
      </c>
      <c r="B42" s="18">
        <f>TEXT($C$7,"yyyy-mm-dd")&amp;"Separate123"&amp;IF($D$7="","XYZ",$D$7)&amp;"Separate123"&amp;"Row"&amp;ROW()</f>
        <v/>
      </c>
      <c r="C42" s="74" t="inlineStr">
        <is>
          <t>12262080-OT Meals - D</t>
        </is>
      </c>
      <c r="D42" s="43" t="n"/>
      <c r="E42" s="24">
        <f>IF(SUMIF($Q$11:$EQ$11,"R",Q42:EQ42)+SUMIF($Q$11:$EQ$11,"DT",Q42:EQ42)=0,"",SUMIF($Q$11:$EQ$11,"R",Q42:EQ42)+SUMIF($Q$11:$EQ$11,"DT",Q42:EQ42))</f>
        <v/>
      </c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39">
        <f t="array" ref="Q42">COUNTIF($N$12:$N$32,_xlfn.XLOOKUP(COLUMN(),tblColToNum[[#All],[Number]],tblColToNum[[#All],[Column Letter]]))+COUNTIF($P$12:$P$32,_xlfn.XLOOKUP(COLUMN(),tblColToNum[[#All],[Number]],tblColToNum[[#All],[Column Letter]]))</f>
        <v/>
      </c>
      <c r="R42" s="43" t="n"/>
      <c r="S42" s="43" t="n"/>
      <c r="T42" s="43" t="n"/>
      <c r="U42" s="43" t="n"/>
      <c r="V42" s="58" t="n"/>
      <c r="W42" s="39">
        <f t="array" ref="W42">COUNTIF($N$12:$N$32,_xlfn.XLOOKUP(COLUMN(),tblColToNum[[#All],[Number]],tblColToNum[[#All],[Column Letter]]))+COUNTIF($P$12:$P$32,_xlfn.XLOOKUP(COLUMN(),tblColToNum[[#All],[Number]],tblColToNum[[#All],[Column Letter]]))</f>
        <v/>
      </c>
      <c r="X42" s="43" t="n"/>
      <c r="Y42" s="43" t="n"/>
      <c r="Z42" s="43" t="n"/>
      <c r="AA42" s="43" t="n"/>
      <c r="AB42" s="58" t="n"/>
      <c r="AC42" s="39">
        <f t="array" ref="AC42">COUNTIF($N$12:$N$32,_xlfn.XLOOKUP(COLUMN(),tblColToNum[[#All],[Number]],tblColToNum[[#All],[Column Letter]]))+COUNTIF($P$12:$P$32,_xlfn.XLOOKUP(COLUMN(),tblColToNum[[#All],[Number]],tblColToNum[[#All],[Column Letter]]))</f>
        <v/>
      </c>
      <c r="AD42" s="43" t="n"/>
      <c r="AE42" s="43" t="n"/>
      <c r="AF42" s="43" t="n"/>
      <c r="AG42" s="43" t="n"/>
      <c r="AH42" s="58" t="n"/>
      <c r="AI42" s="39">
        <f t="array" ref="AI42">COUNTIF($N$12:$N$32,_xlfn.XLOOKUP(COLUMN(),tblColToNum[[#All],[Number]],tblColToNum[[#All],[Column Letter]]))+COUNTIF($P$12:$P$32,_xlfn.XLOOKUP(COLUMN(),tblColToNum[[#All],[Number]],tblColToNum[[#All],[Column Letter]]))</f>
        <v/>
      </c>
      <c r="AJ42" s="43" t="n"/>
      <c r="AK42" s="43" t="n"/>
      <c r="AL42" s="43" t="n"/>
      <c r="AM42" s="43" t="n"/>
      <c r="AN42" s="58" t="n"/>
      <c r="AO42" s="39">
        <f t="array" ref="AO42">COUNTIF($N$12:$N$32,_xlfn.XLOOKUP(COLUMN(),tblColToNum[[#All],[Number]],tblColToNum[[#All],[Column Letter]]))+COUNTIF($P$12:$P$32,_xlfn.XLOOKUP(COLUMN(),tblColToNum[[#All],[Number]],tblColToNum[[#All],[Column Letter]]))</f>
        <v/>
      </c>
      <c r="AP42" s="43" t="n"/>
      <c r="AQ42" s="43" t="n"/>
      <c r="AR42" s="43" t="n"/>
      <c r="AS42" s="43" t="n"/>
      <c r="AT42" s="58" t="n"/>
      <c r="AU42" s="39">
        <f t="array" ref="AU42">COUNTIF($N$12:$N$32,_xlfn.XLOOKUP(COLUMN(),tblColToNum[[#All],[Number]],tblColToNum[[#All],[Column Letter]]))+COUNTIF($P$12:$P$32,_xlfn.XLOOKUP(COLUMN(),tblColToNum[[#All],[Number]],tblColToNum[[#All],[Column Letter]]))</f>
        <v/>
      </c>
      <c r="AV42" s="43" t="n"/>
      <c r="AW42" s="43" t="n"/>
      <c r="AX42" s="43" t="n"/>
      <c r="AY42" s="43" t="n"/>
      <c r="AZ42" s="58" t="n"/>
      <c r="BA42" s="39">
        <f t="array" ref="BA42">COUNTIF($N$12:$N$32,_xlfn.XLOOKUP(COLUMN(),tblColToNum[[#All],[Number]],tblColToNum[[#All],[Column Letter]]))+COUNTIF($P$12:$P$32,_xlfn.XLOOKUP(COLUMN(),tblColToNum[[#All],[Number]],tblColToNum[[#All],[Column Letter]]))</f>
        <v/>
      </c>
      <c r="BB42" s="43" t="n"/>
      <c r="BC42" s="43" t="n"/>
      <c r="BD42" s="43" t="n"/>
      <c r="BE42" s="43" t="n"/>
      <c r="BF42" s="58" t="n"/>
      <c r="BG42" s="39">
        <f t="array" ref="BG42">COUNTIF($N$12:$N$32,_xlfn.XLOOKUP(COLUMN(),tblColToNum[[#All],[Number]],tblColToNum[[#All],[Column Letter]]))+COUNTIF($P$12:$P$32,_xlfn.XLOOKUP(COLUMN(),tblColToNum[[#All],[Number]],tblColToNum[[#All],[Column Letter]]))</f>
        <v/>
      </c>
      <c r="BH42" s="43" t="n"/>
      <c r="BI42" s="43" t="n"/>
      <c r="BJ42" s="43" t="n"/>
      <c r="BK42" s="43" t="n"/>
      <c r="BL42" s="58" t="n"/>
      <c r="BM42" s="39">
        <f t="array" ref="BM42">COUNTIF($N$12:$N$32,_xlfn.XLOOKUP(COLUMN(),tblColToNum[[#All],[Number]],tblColToNum[[#All],[Column Letter]]))+COUNTIF($P$12:$P$32,_xlfn.XLOOKUP(COLUMN(),tblColToNum[[#All],[Number]],tblColToNum[[#All],[Column Letter]]))</f>
        <v/>
      </c>
      <c r="BN42" s="43" t="n"/>
      <c r="BO42" s="43" t="n"/>
      <c r="BP42" s="43" t="n"/>
      <c r="BQ42" s="43" t="n"/>
      <c r="BR42" s="58" t="n"/>
      <c r="BS42" s="39">
        <f t="array" ref="BS42">COUNTIF($N$12:$N$32,_xlfn.XLOOKUP(COLUMN(),tblColToNum[[#All],[Number]],tblColToNum[[#All],[Column Letter]]))+COUNTIF($P$12:$P$32,_xlfn.XLOOKUP(COLUMN(),tblColToNum[[#All],[Number]],tblColToNum[[#All],[Column Letter]]))</f>
        <v/>
      </c>
      <c r="BT42" s="43" t="n"/>
      <c r="BU42" s="43" t="n"/>
      <c r="BV42" s="43" t="n"/>
      <c r="BW42" s="43" t="n"/>
      <c r="BX42" s="58" t="n"/>
      <c r="BY42" s="39">
        <f t="array" ref="BY42">COUNTIF($N$12:$N$32,_xlfn.XLOOKUP(COLUMN(),tblColToNum[[#All],[Number]],tblColToNum[[#All],[Column Letter]]))+COUNTIF($P$12:$P$32,_xlfn.XLOOKUP(COLUMN(),tblColToNum[[#All],[Number]],tblColToNum[[#All],[Column Letter]]))</f>
        <v/>
      </c>
      <c r="BZ42" s="43" t="n"/>
      <c r="CA42" s="43" t="n"/>
      <c r="CB42" s="43" t="n"/>
      <c r="CC42" s="43" t="n"/>
      <c r="CD42" s="58" t="n"/>
      <c r="CE42" s="39">
        <f t="array" ref="CE42">COUNTIF($N$12:$N$32,_xlfn.XLOOKUP(COLUMN(),tblColToNum[[#All],[Number]],tblColToNum[[#All],[Column Letter]]))+COUNTIF($P$12:$P$32,_xlfn.XLOOKUP(COLUMN(),tblColToNum[[#All],[Number]],tblColToNum[[#All],[Column Letter]]))</f>
        <v/>
      </c>
      <c r="CF42" s="43" t="n"/>
      <c r="CG42" s="43" t="n"/>
      <c r="CH42" s="43" t="n"/>
      <c r="CI42" s="43" t="n"/>
      <c r="CJ42" s="58" t="n"/>
      <c r="CK42" s="39">
        <f t="array" ref="CK42">COUNTIF($N$12:$N$32,_xlfn.XLOOKUP(COLUMN(),tblColToNum[[#All],[Number]],tblColToNum[[#All],[Column Letter]]))+COUNTIF($P$12:$P$32,_xlfn.XLOOKUP(COLUMN(),tblColToNum[[#All],[Number]],tblColToNum[[#All],[Column Letter]]))</f>
        <v/>
      </c>
      <c r="CL42" s="43" t="n"/>
      <c r="CM42" s="43" t="n"/>
      <c r="CN42" s="43" t="n"/>
      <c r="CO42" s="43" t="n"/>
      <c r="CP42" s="58" t="n"/>
      <c r="CQ42" s="39">
        <f t="array" ref="CQ42">COUNTIF($N$12:$N$32,_xlfn.XLOOKUP(COLUMN(),tblColToNum[[#All],[Number]],tblColToNum[[#All],[Column Letter]]))+COUNTIF($P$12:$P$32,_xlfn.XLOOKUP(COLUMN(),tblColToNum[[#All],[Number]],tblColToNum[[#All],[Column Letter]]))</f>
        <v/>
      </c>
      <c r="CR42" s="43" t="n"/>
      <c r="CS42" s="43" t="n"/>
      <c r="CT42" s="43" t="n"/>
      <c r="CU42" s="43" t="n"/>
      <c r="CV42" s="58" t="n"/>
      <c r="CW42" s="39">
        <f t="array" ref="CW42">COUNTIF($N$12:$N$32,_xlfn.XLOOKUP(COLUMN(),tblColToNum[[#All],[Number]],tblColToNum[[#All],[Column Letter]]))+COUNTIF($P$12:$P$32,_xlfn.XLOOKUP(COLUMN(),tblColToNum[[#All],[Number]],tblColToNum[[#All],[Column Letter]]))</f>
        <v/>
      </c>
      <c r="CX42" s="43" t="n"/>
      <c r="CY42" s="43" t="n"/>
      <c r="CZ42" s="43" t="n"/>
      <c r="DA42" s="43" t="n"/>
      <c r="DB42" s="58" t="n"/>
      <c r="DC42" s="39">
        <f t="array" ref="DC42">COUNTIF($N$12:$N$32,_xlfn.XLOOKUP(COLUMN(),tblColToNum[[#All],[Number]],tblColToNum[[#All],[Column Letter]]))+COUNTIF($P$12:$P$32,_xlfn.XLOOKUP(COLUMN(),tblColToNum[[#All],[Number]],tblColToNum[[#All],[Column Letter]]))</f>
        <v/>
      </c>
      <c r="DD42" s="43" t="n"/>
      <c r="DE42" s="43" t="n"/>
      <c r="DF42" s="43" t="n"/>
      <c r="DG42" s="43" t="n"/>
      <c r="DH42" s="58" t="n"/>
      <c r="DI42" s="39">
        <f t="array" ref="DI42">COUNTIF($N$12:$N$32,_xlfn.XLOOKUP(COLUMN(),tblColToNum[[#All],[Number]],tblColToNum[[#All],[Column Letter]]))+COUNTIF($P$12:$P$32,_xlfn.XLOOKUP(COLUMN(),tblColToNum[[#All],[Number]],tblColToNum[[#All],[Column Letter]]))</f>
        <v/>
      </c>
      <c r="DJ42" s="43" t="n"/>
      <c r="DK42" s="43" t="n"/>
      <c r="DL42" s="43" t="n"/>
      <c r="DM42" s="43" t="n"/>
      <c r="DN42" s="58" t="n"/>
      <c r="DO42" s="39">
        <f t="array" ref="DO42">COUNTIF($N$12:$N$32,_xlfn.XLOOKUP(COLUMN(),tblColToNum[[#All],[Number]],tblColToNum[[#All],[Column Letter]]))+COUNTIF($P$12:$P$32,_xlfn.XLOOKUP(COLUMN(),tblColToNum[[#All],[Number]],tblColToNum[[#All],[Column Letter]]))</f>
        <v/>
      </c>
      <c r="DP42" s="43" t="n"/>
      <c r="DQ42" s="43" t="n"/>
      <c r="DR42" s="43" t="n"/>
      <c r="DS42" s="43" t="n"/>
      <c r="DT42" s="58" t="n"/>
      <c r="DU42" s="39">
        <f t="array" ref="DU42">COUNTIF($N$12:$N$32,_xlfn.XLOOKUP(COLUMN(),tblColToNum[[#All],[Number]],tblColToNum[[#All],[Column Letter]]))+COUNTIF($P$12:$P$32,_xlfn.XLOOKUP(COLUMN(),tblColToNum[[#All],[Number]],tblColToNum[[#All],[Column Letter]]))</f>
        <v/>
      </c>
      <c r="DV42" s="43" t="n"/>
      <c r="DW42" s="43" t="n"/>
      <c r="DX42" s="43" t="n"/>
      <c r="DY42" s="43" t="n"/>
      <c r="DZ42" s="58" t="n"/>
      <c r="EA42" s="39">
        <f t="array" ref="EA42">COUNTIF($N$12:$N$32,_xlfn.XLOOKUP(COLUMN(),tblColToNum[[#All],[Number]],tblColToNum[[#All],[Column Letter]]))+COUNTIF($P$12:$P$32,_xlfn.XLOOKUP(COLUMN(),tblColToNum[[#All],[Number]],tblColToNum[[#All],[Column Letter]]))</f>
        <v/>
      </c>
      <c r="EB42" s="43" t="n"/>
      <c r="EC42" s="43" t="n"/>
      <c r="ED42" s="43" t="n"/>
      <c r="EE42" s="43" t="n"/>
      <c r="EF42" s="58" t="n"/>
      <c r="EG42" s="39">
        <f t="array" ref="EG42">COUNTIF($N$12:$N$32,_xlfn.XLOOKUP(COLUMN(),tblColToNum[[#All],[Number]],tblColToNum[[#All],[Column Letter]]))+COUNTIF($P$12:$P$32,_xlfn.XLOOKUP(COLUMN(),tblColToNum[[#All],[Number]],tblColToNum[[#All],[Column Letter]]))</f>
        <v/>
      </c>
      <c r="EH42" s="43" t="n"/>
      <c r="EI42" s="43" t="n"/>
      <c r="EJ42" s="43" t="n"/>
      <c r="EK42" s="43" t="n"/>
      <c r="EL42" s="58" t="n"/>
      <c r="EM42" s="39">
        <f t="array" ref="EM42">COUNTIF($N$12:$N$32,_xlfn.XLOOKUP(COLUMN(),tblColToNum[[#All],[Number]],tblColToNum[[#All],[Column Letter]]))+COUNTIF($P$12:$P$32,_xlfn.XLOOKUP(COLUMN(),tblColToNum[[#All],[Number]],tblColToNum[[#All],[Column Letter]]))</f>
        <v/>
      </c>
      <c r="EN42" s="43" t="n"/>
      <c r="EO42" s="43" t="n"/>
      <c r="EP42" s="43" t="n"/>
      <c r="EQ42" s="43" t="n"/>
    </row>
    <row r="43" ht="6.75" customFormat="1" customHeight="1" s="15">
      <c r="A43" s="14" t="inlineStr">
        <is>
          <t>Equip</t>
        </is>
      </c>
      <c r="B43" s="18">
        <f>TEXT($C$7,"yyyy-mm-dd")&amp;"Separate123"&amp;IF($D$7="","XYZ",$D$7)&amp;"Separate123"&amp;"Row"&amp;ROW()</f>
        <v/>
      </c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43" t="n"/>
      <c r="U43" s="43" t="n"/>
      <c r="V43" s="58" t="n"/>
      <c r="W43" s="43" t="n"/>
      <c r="X43" s="43" t="n"/>
      <c r="Y43" s="43" t="n"/>
      <c r="Z43" s="43" t="n"/>
      <c r="AA43" s="43" t="n"/>
      <c r="AB43" s="58" t="n"/>
      <c r="AC43" s="43" t="n"/>
      <c r="AD43" s="43" t="n"/>
      <c r="AE43" s="43" t="n"/>
      <c r="AF43" s="43" t="n"/>
      <c r="AG43" s="43" t="n"/>
      <c r="AH43" s="58" t="n"/>
      <c r="AI43" s="43" t="n"/>
      <c r="AJ43" s="43" t="n"/>
      <c r="AK43" s="43" t="n"/>
      <c r="AL43" s="43" t="n"/>
      <c r="AM43" s="43" t="n"/>
      <c r="AN43" s="58" t="n"/>
      <c r="AO43" s="43" t="n"/>
      <c r="AP43" s="43" t="n"/>
      <c r="AQ43" s="43" t="n"/>
      <c r="AR43" s="43" t="n"/>
      <c r="AS43" s="43" t="n"/>
      <c r="AT43" s="58" t="n"/>
      <c r="AU43" s="43" t="n"/>
      <c r="AV43" s="43" t="n"/>
      <c r="AW43" s="43" t="n"/>
      <c r="AX43" s="43" t="n"/>
      <c r="AY43" s="43" t="n"/>
      <c r="AZ43" s="58" t="n"/>
      <c r="BA43" s="43" t="n"/>
      <c r="BB43" s="43" t="n"/>
      <c r="BC43" s="43" t="n"/>
      <c r="BD43" s="43" t="n"/>
      <c r="BE43" s="43" t="n"/>
      <c r="BF43" s="58" t="n"/>
      <c r="BG43" s="43" t="n"/>
      <c r="BH43" s="43" t="n"/>
      <c r="BI43" s="43" t="n"/>
      <c r="BJ43" s="43" t="n"/>
      <c r="BK43" s="43" t="n"/>
      <c r="BL43" s="58" t="n"/>
      <c r="BM43" s="43" t="n"/>
      <c r="BN43" s="43" t="n"/>
      <c r="BO43" s="43" t="n"/>
      <c r="BP43" s="43" t="n"/>
      <c r="BQ43" s="43" t="n"/>
      <c r="BR43" s="58" t="n"/>
      <c r="BS43" s="43" t="n"/>
      <c r="BT43" s="43" t="n"/>
      <c r="BU43" s="43" t="n"/>
      <c r="BV43" s="43" t="n"/>
      <c r="BW43" s="43" t="n"/>
      <c r="BX43" s="58" t="n"/>
      <c r="BY43" s="43" t="n"/>
      <c r="BZ43" s="43" t="n"/>
      <c r="CA43" s="43" t="n"/>
      <c r="CB43" s="43" t="n"/>
      <c r="CC43" s="43" t="n"/>
      <c r="CD43" s="58" t="n"/>
      <c r="CE43" s="43" t="n"/>
      <c r="CF43" s="43" t="n"/>
      <c r="CG43" s="43" t="n"/>
      <c r="CH43" s="43" t="n"/>
      <c r="CI43" s="43" t="n"/>
      <c r="CJ43" s="58" t="n"/>
      <c r="CK43" s="43" t="n"/>
      <c r="CL43" s="43" t="n"/>
      <c r="CM43" s="43" t="n"/>
      <c r="CN43" s="43" t="n"/>
      <c r="CO43" s="43" t="n"/>
      <c r="CP43" s="58" t="n"/>
      <c r="CQ43" s="43" t="n"/>
      <c r="CR43" s="43" t="n"/>
      <c r="CS43" s="43" t="n"/>
      <c r="CT43" s="43" t="n"/>
      <c r="CU43" s="43" t="n"/>
      <c r="CV43" s="58" t="n"/>
      <c r="CW43" s="43" t="n"/>
      <c r="CX43" s="43" t="n"/>
      <c r="CY43" s="43" t="n"/>
      <c r="CZ43" s="43" t="n"/>
      <c r="DA43" s="43" t="n"/>
      <c r="DB43" s="58" t="n"/>
      <c r="DC43" s="43" t="n"/>
      <c r="DD43" s="43" t="n"/>
      <c r="DE43" s="43" t="n"/>
      <c r="DF43" s="43" t="n"/>
      <c r="DG43" s="43" t="n"/>
      <c r="DH43" s="58" t="n"/>
      <c r="DI43" s="43" t="n"/>
      <c r="DJ43" s="43" t="n"/>
      <c r="DK43" s="43" t="n"/>
      <c r="DL43" s="43" t="n"/>
      <c r="DM43" s="43" t="n"/>
      <c r="DN43" s="58" t="n"/>
      <c r="DO43" s="43" t="n"/>
      <c r="DP43" s="43" t="n"/>
      <c r="DQ43" s="43" t="n"/>
      <c r="DR43" s="43" t="n"/>
      <c r="DS43" s="43" t="n"/>
      <c r="DT43" s="58" t="n"/>
      <c r="DU43" s="43" t="n"/>
      <c r="DV43" s="43" t="n"/>
      <c r="DW43" s="43" t="n"/>
      <c r="DX43" s="43" t="n"/>
      <c r="DY43" s="43" t="n"/>
      <c r="DZ43" s="58" t="n"/>
      <c r="EA43" s="43" t="n"/>
      <c r="EB43" s="43" t="n"/>
      <c r="EC43" s="43" t="n"/>
      <c r="ED43" s="43" t="n"/>
      <c r="EE43" s="43" t="n"/>
      <c r="EF43" s="58" t="n"/>
      <c r="EG43" s="43" t="n"/>
      <c r="EH43" s="43" t="n"/>
      <c r="EI43" s="43" t="n"/>
      <c r="EJ43" s="43" t="n"/>
      <c r="EK43" s="43" t="n"/>
      <c r="EL43" s="58" t="n"/>
      <c r="EM43" s="43" t="n"/>
      <c r="EN43" s="43" t="n"/>
      <c r="EO43" s="43" t="n"/>
      <c r="EP43" s="43" t="n"/>
      <c r="EQ43" s="43" t="n"/>
    </row>
    <row r="44" customFormat="1" s="15">
      <c r="A44" s="14" t="inlineStr">
        <is>
          <t>Equip</t>
        </is>
      </c>
      <c r="B44" s="18">
        <f>TEXT($C$7,"yyyy-mm-dd")&amp;"Separate123"&amp;IF($D$7="","XYZ",$D$7)&amp;"Separate123"&amp;"Row"&amp;ROW()</f>
        <v/>
      </c>
      <c r="C44" s="74" t="inlineStr">
        <is>
          <t>12204011-LOA - D</t>
        </is>
      </c>
      <c r="D44" s="43" t="n"/>
      <c r="E44" s="24">
        <f>IF(SUMIF($Q$11:$EQ$11,"R",Q44:EQ44)+SUMIF($Q$11:$EQ$11,"DT",Q44:EQ44)=0,"",SUMIF($Q$11:$EQ$11,"R",Q44:EQ44)+SUMIF($Q$11:$EQ$11,"DT",Q44:EQ44))</f>
        <v/>
      </c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39">
        <f t="array" ref="Q44">COUNTIF($L$12:$L$32,_xlfn.XLOOKUP(COLUMN(),tblColToNum[[#All],[Number]],tblColToNum[[#All],[Column Letter]]))</f>
        <v/>
      </c>
      <c r="R44" s="43" t="n"/>
      <c r="S44" s="43" t="n"/>
      <c r="T44" s="43" t="n"/>
      <c r="U44" s="43" t="n"/>
      <c r="V44" s="58" t="n"/>
      <c r="W44" s="39">
        <f t="array" ref="W44">COUNTIF($L$12:$L$32,_xlfn.XLOOKUP(COLUMN(),tblColToNum[[#All],[Number]],tblColToNum[[#All],[Column Letter]]))</f>
        <v/>
      </c>
      <c r="X44" s="43" t="n"/>
      <c r="Y44" s="43" t="n"/>
      <c r="Z44" s="43" t="n"/>
      <c r="AA44" s="43" t="n"/>
      <c r="AB44" s="58" t="n"/>
      <c r="AC44" s="39">
        <f t="array" ref="AC44">COUNTIF($L$12:$L$32,_xlfn.XLOOKUP(COLUMN(),tblColToNum[[#All],[Number]],tblColToNum[[#All],[Column Letter]]))</f>
        <v/>
      </c>
      <c r="AD44" s="43" t="n"/>
      <c r="AE44" s="43" t="n"/>
      <c r="AF44" s="43" t="n"/>
      <c r="AG44" s="43" t="n"/>
      <c r="AH44" s="58" t="n"/>
      <c r="AI44" s="39">
        <f t="array" ref="AI44">COUNTIF($L$12:$L$32,_xlfn.XLOOKUP(COLUMN(),tblColToNum[[#All],[Number]],tblColToNum[[#All],[Column Letter]]))</f>
        <v/>
      </c>
      <c r="AJ44" s="43" t="n"/>
      <c r="AK44" s="43" t="n"/>
      <c r="AL44" s="43" t="n"/>
      <c r="AM44" s="43" t="n"/>
      <c r="AN44" s="58" t="n"/>
      <c r="AO44" s="39">
        <f t="array" ref="AO44">COUNTIF($L$12:$L$32,_xlfn.XLOOKUP(COLUMN(),tblColToNum[[#All],[Number]],tblColToNum[[#All],[Column Letter]]))</f>
        <v/>
      </c>
      <c r="AP44" s="43" t="n"/>
      <c r="AQ44" s="43" t="n"/>
      <c r="AR44" s="43" t="n"/>
      <c r="AS44" s="43" t="n"/>
      <c r="AT44" s="58" t="n"/>
      <c r="AU44" s="39">
        <f t="array" ref="AU44">COUNTIF($L$12:$L$32,_xlfn.XLOOKUP(COLUMN(),tblColToNum[[#All],[Number]],tblColToNum[[#All],[Column Letter]]))</f>
        <v/>
      </c>
      <c r="AV44" s="43" t="n"/>
      <c r="AW44" s="43" t="n"/>
      <c r="AX44" s="43" t="n"/>
      <c r="AY44" s="43" t="n"/>
      <c r="AZ44" s="58" t="n"/>
      <c r="BA44" s="39">
        <f t="array" ref="BA44">COUNTIF($L$12:$L$32,_xlfn.XLOOKUP(COLUMN(),tblColToNum[[#All],[Number]],tblColToNum[[#All],[Column Letter]]))</f>
        <v/>
      </c>
      <c r="BB44" s="43" t="n"/>
      <c r="BC44" s="43" t="n"/>
      <c r="BD44" s="43" t="n"/>
      <c r="BE44" s="43" t="n"/>
      <c r="BF44" s="58" t="n"/>
      <c r="BG44" s="39">
        <f t="array" ref="BG44">COUNTIF($L$12:$L$32,_xlfn.XLOOKUP(COLUMN(),tblColToNum[[#All],[Number]],tblColToNum[[#All],[Column Letter]]))</f>
        <v/>
      </c>
      <c r="BH44" s="43" t="n"/>
      <c r="BI44" s="43" t="n"/>
      <c r="BJ44" s="43" t="n"/>
      <c r="BK44" s="43" t="n"/>
      <c r="BL44" s="58" t="n"/>
      <c r="BM44" s="39">
        <f t="array" ref="BM44">COUNTIF($L$12:$L$32,_xlfn.XLOOKUP(COLUMN(),tblColToNum[[#All],[Number]],tblColToNum[[#All],[Column Letter]]))</f>
        <v/>
      </c>
      <c r="BN44" s="43" t="n"/>
      <c r="BO44" s="43" t="n"/>
      <c r="BP44" s="43" t="n"/>
      <c r="BQ44" s="43" t="n"/>
      <c r="BR44" s="58" t="n"/>
      <c r="BS44" s="39">
        <f t="array" ref="BS44">COUNTIF($L$12:$L$32,_xlfn.XLOOKUP(COLUMN(),tblColToNum[[#All],[Number]],tblColToNum[[#All],[Column Letter]]))</f>
        <v/>
      </c>
      <c r="BT44" s="43" t="n"/>
      <c r="BU44" s="43" t="n"/>
      <c r="BV44" s="43" t="n"/>
      <c r="BW44" s="43" t="n"/>
      <c r="BX44" s="58" t="n"/>
      <c r="BY44" s="39">
        <f t="array" ref="BY44">COUNTIF($L$12:$L$32,_xlfn.XLOOKUP(COLUMN(),tblColToNum[[#All],[Number]],tblColToNum[[#All],[Column Letter]]))</f>
        <v/>
      </c>
      <c r="BZ44" s="43" t="n"/>
      <c r="CA44" s="43" t="n"/>
      <c r="CB44" s="43" t="n"/>
      <c r="CC44" s="43" t="n"/>
      <c r="CD44" s="58" t="n"/>
      <c r="CE44" s="39">
        <f t="array" ref="CE44">COUNTIF($L$12:$L$32,_xlfn.XLOOKUP(COLUMN(),tblColToNum[[#All],[Number]],tblColToNum[[#All],[Column Letter]]))</f>
        <v/>
      </c>
      <c r="CF44" s="43" t="n"/>
      <c r="CG44" s="43" t="n"/>
      <c r="CH44" s="43" t="n"/>
      <c r="CI44" s="43" t="n"/>
      <c r="CJ44" s="58" t="n"/>
      <c r="CK44" s="39">
        <f t="array" ref="CK44">COUNTIF($L$12:$L$32,_xlfn.XLOOKUP(COLUMN(),tblColToNum[[#All],[Number]],tblColToNum[[#All],[Column Letter]]))</f>
        <v/>
      </c>
      <c r="CL44" s="43" t="n"/>
      <c r="CM44" s="43" t="n"/>
      <c r="CN44" s="43" t="n"/>
      <c r="CO44" s="43" t="n"/>
      <c r="CP44" s="58" t="n"/>
      <c r="CQ44" s="39">
        <f t="array" ref="CQ44">COUNTIF($L$12:$L$32,_xlfn.XLOOKUP(COLUMN(),tblColToNum[[#All],[Number]],tblColToNum[[#All],[Column Letter]]))</f>
        <v/>
      </c>
      <c r="CR44" s="43" t="n"/>
      <c r="CS44" s="43" t="n"/>
      <c r="CT44" s="43" t="n"/>
      <c r="CU44" s="43" t="n"/>
      <c r="CV44" s="58" t="n"/>
      <c r="CW44" s="39">
        <f t="array" ref="CW44">COUNTIF($L$12:$L$32,_xlfn.XLOOKUP(COLUMN(),tblColToNum[[#All],[Number]],tblColToNum[[#All],[Column Letter]]))</f>
        <v/>
      </c>
      <c r="CX44" s="43" t="n"/>
      <c r="CY44" s="43" t="n"/>
      <c r="CZ44" s="43" t="n"/>
      <c r="DA44" s="43" t="n"/>
      <c r="DB44" s="58" t="n"/>
      <c r="DC44" s="39">
        <f t="array" ref="DC44">COUNTIF($L$12:$L$32,_xlfn.XLOOKUP(COLUMN(),tblColToNum[[#All],[Number]],tblColToNum[[#All],[Column Letter]]))</f>
        <v/>
      </c>
      <c r="DD44" s="43" t="n"/>
      <c r="DE44" s="43" t="n"/>
      <c r="DF44" s="43" t="n"/>
      <c r="DG44" s="43" t="n"/>
      <c r="DH44" s="58" t="n"/>
      <c r="DI44" s="39">
        <f t="array" ref="DI44">COUNTIF($L$12:$L$32,_xlfn.XLOOKUP(COLUMN(),tblColToNum[[#All],[Number]],tblColToNum[[#All],[Column Letter]]))</f>
        <v/>
      </c>
      <c r="DJ44" s="43" t="n"/>
      <c r="DK44" s="43" t="n"/>
      <c r="DL44" s="43" t="n"/>
      <c r="DM44" s="43" t="n"/>
      <c r="DN44" s="58" t="n"/>
      <c r="DO44" s="39">
        <f t="array" ref="DO44">COUNTIF($L$12:$L$32,_xlfn.XLOOKUP(COLUMN(),tblColToNum[[#All],[Number]],tblColToNum[[#All],[Column Letter]]))</f>
        <v/>
      </c>
      <c r="DP44" s="43" t="n"/>
      <c r="DQ44" s="43" t="n"/>
      <c r="DR44" s="43" t="n"/>
      <c r="DS44" s="43" t="n"/>
      <c r="DT44" s="58" t="n"/>
      <c r="DU44" s="39">
        <f t="array" ref="DU44">COUNTIF($L$12:$L$32,_xlfn.XLOOKUP(COLUMN(),tblColToNum[[#All],[Number]],tblColToNum[[#All],[Column Letter]]))</f>
        <v/>
      </c>
      <c r="DV44" s="43" t="n"/>
      <c r="DW44" s="43" t="n"/>
      <c r="DX44" s="43" t="n"/>
      <c r="DY44" s="43" t="n"/>
      <c r="DZ44" s="58" t="n"/>
      <c r="EA44" s="39">
        <f t="array" ref="EA44">COUNTIF($L$12:$L$32,_xlfn.XLOOKUP(COLUMN(),tblColToNum[[#All],[Number]],tblColToNum[[#All],[Column Letter]]))</f>
        <v/>
      </c>
      <c r="EB44" s="43" t="n"/>
      <c r="EC44" s="43" t="n"/>
      <c r="ED44" s="43" t="n"/>
      <c r="EE44" s="43" t="n"/>
      <c r="EF44" s="58" t="n"/>
      <c r="EG44" s="39">
        <f t="array" ref="EG44">COUNTIF($L$12:$L$32,_xlfn.XLOOKUP(COLUMN(),tblColToNum[[#All],[Number]],tblColToNum[[#All],[Column Letter]]))</f>
        <v/>
      </c>
      <c r="EH44" s="43" t="n"/>
      <c r="EI44" s="43" t="n"/>
      <c r="EJ44" s="43" t="n"/>
      <c r="EK44" s="43" t="n"/>
      <c r="EL44" s="58" t="n"/>
      <c r="EM44" s="39">
        <f t="array" ref="EM44">COUNTIF($L$12:$L$32,_xlfn.XLOOKUP(COLUMN(),tblColToNum[[#All],[Number]],tblColToNum[[#All],[Column Letter]]))</f>
        <v/>
      </c>
      <c r="EN44" s="43" t="n"/>
      <c r="EO44" s="43" t="n"/>
      <c r="EP44" s="43" t="n"/>
      <c r="EQ44" s="43" t="n"/>
    </row>
    <row r="45" ht="6.75" customFormat="1" customHeight="1" s="15">
      <c r="A45" s="14" t="inlineStr">
        <is>
          <t>Equip</t>
        </is>
      </c>
      <c r="B45" s="18">
        <f>TEXT($C$7,"yyyy-mm-dd")&amp;"Separate123"&amp;IF($D$7="","XYZ",$D$7)&amp;"Separate123"&amp;"Row"&amp;ROW()</f>
        <v/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43" t="n"/>
      <c r="U45" s="43" t="n"/>
      <c r="V45" s="58" t="n"/>
      <c r="W45" s="43" t="n"/>
      <c r="X45" s="43" t="n"/>
      <c r="Y45" s="43" t="n"/>
      <c r="Z45" s="43" t="n"/>
      <c r="AA45" s="43" t="n"/>
      <c r="AB45" s="58" t="n"/>
      <c r="AC45" s="43" t="n"/>
      <c r="AD45" s="43" t="n"/>
      <c r="AE45" s="43" t="n"/>
      <c r="AF45" s="43" t="n"/>
      <c r="AG45" s="43" t="n"/>
      <c r="AH45" s="58" t="n"/>
      <c r="AI45" s="43" t="n"/>
      <c r="AJ45" s="43" t="n"/>
      <c r="AK45" s="43" t="n"/>
      <c r="AL45" s="43" t="n"/>
      <c r="AM45" s="43" t="n"/>
      <c r="AN45" s="58" t="n"/>
      <c r="AO45" s="43" t="n"/>
      <c r="AP45" s="43" t="n"/>
      <c r="AQ45" s="43" t="n"/>
      <c r="AR45" s="43" t="n"/>
      <c r="AS45" s="43" t="n"/>
      <c r="AT45" s="58" t="n"/>
      <c r="AU45" s="43" t="n"/>
      <c r="AV45" s="43" t="n"/>
      <c r="AW45" s="43" t="n"/>
      <c r="AX45" s="43" t="n"/>
      <c r="AY45" s="43" t="n"/>
      <c r="AZ45" s="58" t="n"/>
      <c r="BA45" s="43" t="n"/>
      <c r="BB45" s="43" t="n"/>
      <c r="BC45" s="43" t="n"/>
      <c r="BD45" s="43" t="n"/>
      <c r="BE45" s="43" t="n"/>
      <c r="BF45" s="58" t="n"/>
      <c r="BG45" s="43" t="n"/>
      <c r="BH45" s="43" t="n"/>
      <c r="BI45" s="43" t="n"/>
      <c r="BJ45" s="43" t="n"/>
      <c r="BK45" s="43" t="n"/>
      <c r="BL45" s="58" t="n"/>
      <c r="BM45" s="43" t="n"/>
      <c r="BN45" s="43" t="n"/>
      <c r="BO45" s="43" t="n"/>
      <c r="BP45" s="43" t="n"/>
      <c r="BQ45" s="43" t="n"/>
      <c r="BR45" s="58" t="n"/>
      <c r="BS45" s="43" t="n"/>
      <c r="BT45" s="43" t="n"/>
      <c r="BU45" s="43" t="n"/>
      <c r="BV45" s="43" t="n"/>
      <c r="BW45" s="43" t="n"/>
      <c r="BX45" s="58" t="n"/>
      <c r="BY45" s="43" t="n"/>
      <c r="BZ45" s="43" t="n"/>
      <c r="CA45" s="43" t="n"/>
      <c r="CB45" s="43" t="n"/>
      <c r="CC45" s="43" t="n"/>
      <c r="CD45" s="58" t="n"/>
      <c r="CE45" s="43" t="n"/>
      <c r="CF45" s="43" t="n"/>
      <c r="CG45" s="43" t="n"/>
      <c r="CH45" s="43" t="n"/>
      <c r="CI45" s="43" t="n"/>
      <c r="CJ45" s="58" t="n"/>
      <c r="CK45" s="43" t="n"/>
      <c r="CL45" s="43" t="n"/>
      <c r="CM45" s="43" t="n"/>
      <c r="CN45" s="43" t="n"/>
      <c r="CO45" s="43" t="n"/>
      <c r="CP45" s="58" t="n"/>
      <c r="CQ45" s="43" t="n"/>
      <c r="CR45" s="43" t="n"/>
      <c r="CS45" s="43" t="n"/>
      <c r="CT45" s="43" t="n"/>
      <c r="CU45" s="43" t="n"/>
      <c r="CV45" s="58" t="n"/>
      <c r="CW45" s="43" t="n"/>
      <c r="CX45" s="43" t="n"/>
      <c r="CY45" s="43" t="n"/>
      <c r="CZ45" s="43" t="n"/>
      <c r="DA45" s="43" t="n"/>
      <c r="DB45" s="58" t="n"/>
      <c r="DC45" s="43" t="n"/>
      <c r="DD45" s="43" t="n"/>
      <c r="DE45" s="43" t="n"/>
      <c r="DF45" s="43" t="n"/>
      <c r="DG45" s="43" t="n"/>
      <c r="DH45" s="58" t="n"/>
      <c r="DI45" s="43" t="n"/>
      <c r="DJ45" s="43" t="n"/>
      <c r="DK45" s="43" t="n"/>
      <c r="DL45" s="43" t="n"/>
      <c r="DM45" s="43" t="n"/>
      <c r="DN45" s="58" t="n"/>
      <c r="DO45" s="43" t="n"/>
      <c r="DP45" s="43" t="n"/>
      <c r="DQ45" s="43" t="n"/>
      <c r="DR45" s="43" t="n"/>
      <c r="DS45" s="43" t="n"/>
      <c r="DT45" s="58" t="n"/>
      <c r="DU45" s="43" t="n"/>
      <c r="DV45" s="43" t="n"/>
      <c r="DW45" s="43" t="n"/>
      <c r="DX45" s="43" t="n"/>
      <c r="DY45" s="43" t="n"/>
      <c r="DZ45" s="58" t="n"/>
      <c r="EA45" s="43" t="n"/>
      <c r="EB45" s="43" t="n"/>
      <c r="EC45" s="43" t="n"/>
      <c r="ED45" s="43" t="n"/>
      <c r="EE45" s="43" t="n"/>
      <c r="EF45" s="58" t="n"/>
      <c r="EG45" s="43" t="n"/>
      <c r="EH45" s="43" t="n"/>
      <c r="EI45" s="43" t="n"/>
      <c r="EJ45" s="43" t="n"/>
      <c r="EK45" s="43" t="n"/>
      <c r="EL45" s="58" t="n"/>
      <c r="EM45" s="43" t="n"/>
      <c r="EN45" s="43" t="n"/>
      <c r="EO45" s="43" t="n"/>
      <c r="EP45" s="43" t="n"/>
      <c r="EQ45" s="43" t="n"/>
    </row>
    <row r="46" customFormat="1" s="15">
      <c r="A46" s="14" t="inlineStr">
        <is>
          <t>`</t>
        </is>
      </c>
      <c r="B46" s="18">
        <f>TEXT($C$7,"yyyy-mm-dd")&amp;"Separate123"&amp;IF($D$7="","XYZ",$D$7)&amp;"Separate123"&amp;"Row"&amp;ROW()</f>
        <v/>
      </c>
      <c r="C46" s="4" t="n"/>
      <c r="D46" s="43" t="n"/>
      <c r="E46" s="24">
        <f>IF(SUMIF($Q$11:$EQ$11,"R",Q46:EQ46)+SUMIF($Q$11:$EQ$11,"DT",Q46:EQ46)=0,"",SUMIF($Q$11:$EQ$11,"R",Q46:EQ46)+SUMIF($Q$11:$EQ$11,"DT",Q46:EQ46))</f>
        <v/>
      </c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6" t="n"/>
      <c r="R46" s="43" t="n"/>
      <c r="S46" s="43" t="n"/>
      <c r="T46" s="43" t="n"/>
      <c r="U46" s="43" t="n"/>
      <c r="V46" s="58" t="n"/>
      <c r="W46" s="3" t="n"/>
      <c r="X46" s="43" t="n"/>
      <c r="Y46" s="43" t="n"/>
      <c r="Z46" s="43" t="n"/>
      <c r="AA46" s="43" t="n"/>
      <c r="AB46" s="58" t="n"/>
      <c r="AC46" s="3" t="n"/>
      <c r="AD46" s="43" t="n"/>
      <c r="AE46" s="43" t="n"/>
      <c r="AF46" s="43" t="n"/>
      <c r="AG46" s="43" t="n"/>
      <c r="AH46" s="58" t="n"/>
      <c r="AI46" s="3" t="n"/>
      <c r="AJ46" s="43" t="n"/>
      <c r="AK46" s="43" t="n"/>
      <c r="AL46" s="43" t="n"/>
      <c r="AM46" s="43" t="n"/>
      <c r="AN46" s="58" t="n"/>
      <c r="AO46" s="3" t="n"/>
      <c r="AP46" s="43" t="n"/>
      <c r="AQ46" s="43" t="n"/>
      <c r="AR46" s="43" t="n"/>
      <c r="AS46" s="43" t="n"/>
      <c r="AT46" s="58" t="n"/>
      <c r="AU46" s="3" t="n"/>
      <c r="AV46" s="43" t="n"/>
      <c r="AW46" s="43" t="n"/>
      <c r="AX46" s="43" t="n"/>
      <c r="AY46" s="43" t="n"/>
      <c r="AZ46" s="58" t="n"/>
      <c r="BA46" s="3" t="n"/>
      <c r="BB46" s="43" t="n"/>
      <c r="BC46" s="43" t="n"/>
      <c r="BD46" s="43" t="n"/>
      <c r="BE46" s="43" t="n"/>
      <c r="BF46" s="58" t="n"/>
      <c r="BG46" s="3" t="n"/>
      <c r="BH46" s="43" t="n"/>
      <c r="BI46" s="43" t="n"/>
      <c r="BJ46" s="43" t="n"/>
      <c r="BK46" s="43" t="n"/>
      <c r="BL46" s="58" t="n"/>
      <c r="BM46" s="3" t="n"/>
      <c r="BN46" s="43" t="n"/>
      <c r="BO46" s="43" t="n"/>
      <c r="BP46" s="43" t="n"/>
      <c r="BQ46" s="43" t="n"/>
      <c r="BR46" s="58" t="n"/>
      <c r="BS46" s="3" t="n"/>
      <c r="BT46" s="43" t="n"/>
      <c r="BU46" s="43" t="n"/>
      <c r="BV46" s="43" t="n"/>
      <c r="BW46" s="43" t="n"/>
      <c r="BX46" s="58" t="n"/>
      <c r="BY46" s="3" t="n"/>
      <c r="BZ46" s="43" t="n"/>
      <c r="CA46" s="43" t="n"/>
      <c r="CB46" s="43" t="n"/>
      <c r="CC46" s="43" t="n"/>
      <c r="CD46" s="58" t="n"/>
      <c r="CE46" s="3" t="n"/>
      <c r="CF46" s="43" t="n"/>
      <c r="CG46" s="43" t="n"/>
      <c r="CH46" s="43" t="n"/>
      <c r="CI46" s="43" t="n"/>
      <c r="CJ46" s="58" t="n"/>
      <c r="CK46" s="3" t="n"/>
      <c r="CL46" s="43" t="n"/>
      <c r="CM46" s="43" t="n"/>
      <c r="CN46" s="43" t="n"/>
      <c r="CO46" s="43" t="n"/>
      <c r="CP46" s="58" t="n"/>
      <c r="CQ46" s="3" t="n"/>
      <c r="CR46" s="43" t="n"/>
      <c r="CS46" s="43" t="n"/>
      <c r="CT46" s="43" t="n"/>
      <c r="CU46" s="43" t="n"/>
      <c r="CV46" s="58" t="n"/>
      <c r="CW46" s="3" t="n"/>
      <c r="CX46" s="43" t="n"/>
      <c r="CY46" s="43" t="n"/>
      <c r="CZ46" s="43" t="n"/>
      <c r="DA46" s="43" t="n"/>
      <c r="DB46" s="58" t="n"/>
      <c r="DC46" s="3" t="n"/>
      <c r="DD46" s="43" t="n"/>
      <c r="DE46" s="43" t="n"/>
      <c r="DF46" s="43" t="n"/>
      <c r="DG46" s="43" t="n"/>
      <c r="DH46" s="58" t="n"/>
      <c r="DI46" s="3" t="n"/>
      <c r="DJ46" s="43" t="n"/>
      <c r="DK46" s="43" t="n"/>
      <c r="DL46" s="43" t="n"/>
      <c r="DM46" s="43" t="n"/>
      <c r="DN46" s="58" t="n"/>
      <c r="DO46" s="3" t="n"/>
      <c r="DP46" s="43" t="n"/>
      <c r="DQ46" s="43" t="n"/>
      <c r="DR46" s="43" t="n"/>
      <c r="DS46" s="43" t="n"/>
      <c r="DT46" s="58" t="n"/>
      <c r="DU46" s="3" t="n"/>
      <c r="DV46" s="43" t="n"/>
      <c r="DW46" s="43" t="n"/>
      <c r="DX46" s="43" t="n"/>
      <c r="DY46" s="43" t="n"/>
      <c r="DZ46" s="58" t="n"/>
      <c r="EA46" s="3" t="n"/>
      <c r="EB46" s="43" t="n"/>
      <c r="EC46" s="43" t="n"/>
      <c r="ED46" s="43" t="n"/>
      <c r="EE46" s="43" t="n"/>
      <c r="EF46" s="58" t="n"/>
      <c r="EG46" s="3" t="n"/>
      <c r="EH46" s="43" t="n"/>
      <c r="EI46" s="43" t="n"/>
      <c r="EJ46" s="43" t="n"/>
      <c r="EK46" s="43" t="n"/>
      <c r="EL46" s="58" t="n"/>
      <c r="EM46" s="3" t="n"/>
      <c r="EN46" s="43" t="n"/>
      <c r="EO46" s="43" t="n"/>
      <c r="EP46" s="43" t="n"/>
      <c r="EQ46" s="43" t="n"/>
    </row>
    <row r="47" customFormat="1" s="15">
      <c r="A47" s="14" t="inlineStr">
        <is>
          <t>Equip</t>
        </is>
      </c>
      <c r="B47" s="18">
        <f>TEXT($C$7,"yyyy-mm-dd")&amp;"Separate123"&amp;IF($D$7="","XYZ",$D$7)&amp;"Separate123"&amp;"Row"&amp;ROW()</f>
        <v/>
      </c>
      <c r="C47" s="4" t="n"/>
      <c r="D47" s="43" t="n"/>
      <c r="E47" s="24">
        <f>IF(SUMIF($Q$11:$EQ$11,"R",Q47:EQ47)+SUMIF($Q$11:$EQ$11,"DT",Q47:EQ47)=0,"",SUMIF($Q$11:$EQ$11,"R",Q47:EQ47)+SUMIF($Q$11:$EQ$11,"DT",Q47:EQ47))</f>
        <v/>
      </c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6" t="n"/>
      <c r="R47" s="43" t="n"/>
      <c r="S47" s="43" t="n"/>
      <c r="T47" s="43" t="n"/>
      <c r="U47" s="43" t="n"/>
      <c r="V47" s="58" t="n"/>
      <c r="W47" s="3" t="n"/>
      <c r="X47" s="43" t="n"/>
      <c r="Y47" s="43" t="n"/>
      <c r="Z47" s="43" t="n"/>
      <c r="AA47" s="43" t="n"/>
      <c r="AB47" s="58" t="n"/>
      <c r="AC47" s="3" t="n"/>
      <c r="AD47" s="43" t="n"/>
      <c r="AE47" s="43" t="n"/>
      <c r="AF47" s="43" t="n"/>
      <c r="AG47" s="43" t="n"/>
      <c r="AH47" s="58" t="n"/>
      <c r="AI47" s="3" t="n"/>
      <c r="AJ47" s="43" t="n"/>
      <c r="AK47" s="43" t="n"/>
      <c r="AL47" s="43" t="n"/>
      <c r="AM47" s="43" t="n"/>
      <c r="AN47" s="58" t="n"/>
      <c r="AO47" s="3" t="n"/>
      <c r="AP47" s="43" t="n"/>
      <c r="AQ47" s="43" t="n"/>
      <c r="AR47" s="43" t="n"/>
      <c r="AS47" s="43" t="n"/>
      <c r="AT47" s="58" t="n"/>
      <c r="AU47" s="3" t="n"/>
      <c r="AV47" s="43" t="n"/>
      <c r="AW47" s="43" t="n"/>
      <c r="AX47" s="43" t="n"/>
      <c r="AY47" s="43" t="n"/>
      <c r="AZ47" s="58" t="n"/>
      <c r="BA47" s="3" t="n"/>
      <c r="BB47" s="43" t="n"/>
      <c r="BC47" s="43" t="n"/>
      <c r="BD47" s="43" t="n"/>
      <c r="BE47" s="43" t="n"/>
      <c r="BF47" s="58" t="n"/>
      <c r="BG47" s="3" t="n"/>
      <c r="BH47" s="43" t="n"/>
      <c r="BI47" s="43" t="n"/>
      <c r="BJ47" s="43" t="n"/>
      <c r="BK47" s="43" t="n"/>
      <c r="BL47" s="58" t="n"/>
      <c r="BM47" s="3" t="n"/>
      <c r="BN47" s="43" t="n"/>
      <c r="BO47" s="43" t="n"/>
      <c r="BP47" s="43" t="n"/>
      <c r="BQ47" s="43" t="n"/>
      <c r="BR47" s="58" t="n"/>
      <c r="BS47" s="3" t="n"/>
      <c r="BT47" s="43" t="n"/>
      <c r="BU47" s="43" t="n"/>
      <c r="BV47" s="43" t="n"/>
      <c r="BW47" s="43" t="n"/>
      <c r="BX47" s="58" t="n"/>
      <c r="BY47" s="3" t="n"/>
      <c r="BZ47" s="43" t="n"/>
      <c r="CA47" s="43" t="n"/>
      <c r="CB47" s="43" t="n"/>
      <c r="CC47" s="43" t="n"/>
      <c r="CD47" s="58" t="n"/>
      <c r="CE47" s="3" t="n"/>
      <c r="CF47" s="43" t="n"/>
      <c r="CG47" s="43" t="n"/>
      <c r="CH47" s="43" t="n"/>
      <c r="CI47" s="43" t="n"/>
      <c r="CJ47" s="58" t="n"/>
      <c r="CK47" s="3" t="n"/>
      <c r="CL47" s="43" t="n"/>
      <c r="CM47" s="43" t="n"/>
      <c r="CN47" s="43" t="n"/>
      <c r="CO47" s="43" t="n"/>
      <c r="CP47" s="58" t="n"/>
      <c r="CQ47" s="3" t="n"/>
      <c r="CR47" s="43" t="n"/>
      <c r="CS47" s="43" t="n"/>
      <c r="CT47" s="43" t="n"/>
      <c r="CU47" s="43" t="n"/>
      <c r="CV47" s="58" t="n"/>
      <c r="CW47" s="3" t="n"/>
      <c r="CX47" s="43" t="n"/>
      <c r="CY47" s="43" t="n"/>
      <c r="CZ47" s="43" t="n"/>
      <c r="DA47" s="43" t="n"/>
      <c r="DB47" s="58" t="n"/>
      <c r="DC47" s="3" t="n"/>
      <c r="DD47" s="43" t="n"/>
      <c r="DE47" s="43" t="n"/>
      <c r="DF47" s="43" t="n"/>
      <c r="DG47" s="43" t="n"/>
      <c r="DH47" s="58" t="n"/>
      <c r="DI47" s="3" t="n"/>
      <c r="DJ47" s="43" t="n"/>
      <c r="DK47" s="43" t="n"/>
      <c r="DL47" s="43" t="n"/>
      <c r="DM47" s="43" t="n"/>
      <c r="DN47" s="58" t="n"/>
      <c r="DO47" s="3" t="n"/>
      <c r="DP47" s="43" t="n"/>
      <c r="DQ47" s="43" t="n"/>
      <c r="DR47" s="43" t="n"/>
      <c r="DS47" s="43" t="n"/>
      <c r="DT47" s="58" t="n"/>
      <c r="DU47" s="3" t="n"/>
      <c r="DV47" s="43" t="n"/>
      <c r="DW47" s="43" t="n"/>
      <c r="DX47" s="43" t="n"/>
      <c r="DY47" s="43" t="n"/>
      <c r="DZ47" s="58" t="n"/>
      <c r="EA47" s="3" t="n"/>
      <c r="EB47" s="43" t="n"/>
      <c r="EC47" s="43" t="n"/>
      <c r="ED47" s="43" t="n"/>
      <c r="EE47" s="43" t="n"/>
      <c r="EF47" s="58" t="n"/>
      <c r="EG47" s="3" t="n"/>
      <c r="EH47" s="43" t="n"/>
      <c r="EI47" s="43" t="n"/>
      <c r="EJ47" s="43" t="n"/>
      <c r="EK47" s="43" t="n"/>
      <c r="EL47" s="58" t="n"/>
      <c r="EM47" s="3" t="n"/>
      <c r="EN47" s="43" t="n"/>
      <c r="EO47" s="43" t="n"/>
      <c r="EP47" s="43" t="n"/>
      <c r="EQ47" s="43" t="n"/>
    </row>
    <row r="48" customFormat="1" s="15">
      <c r="A48" s="14" t="inlineStr">
        <is>
          <t>Equip</t>
        </is>
      </c>
      <c r="B48" s="18">
        <f>TEXT($C$7,"yyyy-mm-dd")&amp;"Separate123"&amp;IF($D$7="","XYZ",$D$7)&amp;"Separate123"&amp;"Row"&amp;ROW()</f>
        <v/>
      </c>
      <c r="C48" s="4" t="n"/>
      <c r="D48" s="43" t="n"/>
      <c r="E48" s="24">
        <f>IF(SUMIF($Q$11:$EQ$11,"R",Q48:EQ48)+SUMIF($Q$11:$EQ$11,"DT",Q48:EQ48)=0,"",SUMIF($Q$11:$EQ$11,"R",Q48:EQ48)+SUMIF($Q$11:$EQ$11,"DT",Q48:EQ48))</f>
        <v/>
      </c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6" t="n"/>
      <c r="R48" s="43" t="n"/>
      <c r="S48" s="43" t="n"/>
      <c r="T48" s="43" t="n"/>
      <c r="U48" s="43" t="n"/>
      <c r="V48" s="58" t="n"/>
      <c r="W48" s="3" t="n"/>
      <c r="X48" s="43" t="n"/>
      <c r="Y48" s="43" t="n"/>
      <c r="Z48" s="43" t="n"/>
      <c r="AA48" s="43" t="n"/>
      <c r="AB48" s="58" t="n"/>
      <c r="AC48" s="3" t="n"/>
      <c r="AD48" s="43" t="n"/>
      <c r="AE48" s="43" t="n"/>
      <c r="AF48" s="43" t="n"/>
      <c r="AG48" s="43" t="n"/>
      <c r="AH48" s="58" t="n"/>
      <c r="AI48" s="3" t="n"/>
      <c r="AJ48" s="43" t="n"/>
      <c r="AK48" s="43" t="n"/>
      <c r="AL48" s="43" t="n"/>
      <c r="AM48" s="43" t="n"/>
      <c r="AN48" s="58" t="n"/>
      <c r="AO48" s="3" t="n"/>
      <c r="AP48" s="43" t="n"/>
      <c r="AQ48" s="43" t="n"/>
      <c r="AR48" s="43" t="n"/>
      <c r="AS48" s="43" t="n"/>
      <c r="AT48" s="58" t="n"/>
      <c r="AU48" s="3" t="n"/>
      <c r="AV48" s="43" t="n"/>
      <c r="AW48" s="43" t="n"/>
      <c r="AX48" s="43" t="n"/>
      <c r="AY48" s="43" t="n"/>
      <c r="AZ48" s="58" t="n"/>
      <c r="BA48" s="3" t="n"/>
      <c r="BB48" s="43" t="n"/>
      <c r="BC48" s="43" t="n"/>
      <c r="BD48" s="43" t="n"/>
      <c r="BE48" s="43" t="n"/>
      <c r="BF48" s="58" t="n"/>
      <c r="BG48" s="3" t="n"/>
      <c r="BH48" s="43" t="n"/>
      <c r="BI48" s="43" t="n"/>
      <c r="BJ48" s="43" t="n"/>
      <c r="BK48" s="43" t="n"/>
      <c r="BL48" s="58" t="n"/>
      <c r="BM48" s="3" t="n"/>
      <c r="BN48" s="43" t="n"/>
      <c r="BO48" s="43" t="n"/>
      <c r="BP48" s="43" t="n"/>
      <c r="BQ48" s="43" t="n"/>
      <c r="BR48" s="58" t="n"/>
      <c r="BS48" s="3" t="n"/>
      <c r="BT48" s="43" t="n"/>
      <c r="BU48" s="43" t="n"/>
      <c r="BV48" s="43" t="n"/>
      <c r="BW48" s="43" t="n"/>
      <c r="BX48" s="58" t="n"/>
      <c r="BY48" s="3" t="n"/>
      <c r="BZ48" s="43" t="n"/>
      <c r="CA48" s="43" t="n"/>
      <c r="CB48" s="43" t="n"/>
      <c r="CC48" s="43" t="n"/>
      <c r="CD48" s="58" t="n"/>
      <c r="CE48" s="3" t="n"/>
      <c r="CF48" s="43" t="n"/>
      <c r="CG48" s="43" t="n"/>
      <c r="CH48" s="43" t="n"/>
      <c r="CI48" s="43" t="n"/>
      <c r="CJ48" s="58" t="n"/>
      <c r="CK48" s="3" t="n"/>
      <c r="CL48" s="43" t="n"/>
      <c r="CM48" s="43" t="n"/>
      <c r="CN48" s="43" t="n"/>
      <c r="CO48" s="43" t="n"/>
      <c r="CP48" s="58" t="n"/>
      <c r="CQ48" s="3" t="n"/>
      <c r="CR48" s="43" t="n"/>
      <c r="CS48" s="43" t="n"/>
      <c r="CT48" s="43" t="n"/>
      <c r="CU48" s="43" t="n"/>
      <c r="CV48" s="58" t="n"/>
      <c r="CW48" s="3" t="n"/>
      <c r="CX48" s="43" t="n"/>
      <c r="CY48" s="43" t="n"/>
      <c r="CZ48" s="43" t="n"/>
      <c r="DA48" s="43" t="n"/>
      <c r="DB48" s="58" t="n"/>
      <c r="DC48" s="3" t="n"/>
      <c r="DD48" s="43" t="n"/>
      <c r="DE48" s="43" t="n"/>
      <c r="DF48" s="43" t="n"/>
      <c r="DG48" s="43" t="n"/>
      <c r="DH48" s="58" t="n"/>
      <c r="DI48" s="3" t="n"/>
      <c r="DJ48" s="43" t="n"/>
      <c r="DK48" s="43" t="n"/>
      <c r="DL48" s="43" t="n"/>
      <c r="DM48" s="43" t="n"/>
      <c r="DN48" s="58" t="n"/>
      <c r="DO48" s="3" t="n"/>
      <c r="DP48" s="43" t="n"/>
      <c r="DQ48" s="43" t="n"/>
      <c r="DR48" s="43" t="n"/>
      <c r="DS48" s="43" t="n"/>
      <c r="DT48" s="58" t="n"/>
      <c r="DU48" s="3" t="n"/>
      <c r="DV48" s="43" t="n"/>
      <c r="DW48" s="43" t="n"/>
      <c r="DX48" s="43" t="n"/>
      <c r="DY48" s="43" t="n"/>
      <c r="DZ48" s="58" t="n"/>
      <c r="EA48" s="3" t="n"/>
      <c r="EB48" s="43" t="n"/>
      <c r="EC48" s="43" t="n"/>
      <c r="ED48" s="43" t="n"/>
      <c r="EE48" s="43" t="n"/>
      <c r="EF48" s="58" t="n"/>
      <c r="EG48" s="3" t="n"/>
      <c r="EH48" s="43" t="n"/>
      <c r="EI48" s="43" t="n"/>
      <c r="EJ48" s="43" t="n"/>
      <c r="EK48" s="43" t="n"/>
      <c r="EL48" s="58" t="n"/>
      <c r="EM48" s="3" t="n"/>
      <c r="EN48" s="43" t="n"/>
      <c r="EO48" s="43" t="n"/>
      <c r="EP48" s="43" t="n"/>
      <c r="EQ48" s="43" t="n"/>
    </row>
    <row r="49" customFormat="1" s="15">
      <c r="A49" s="14" t="inlineStr">
        <is>
          <t>`</t>
        </is>
      </c>
      <c r="B49" s="18">
        <f>TEXT($C$7,"yyyy-mm-dd")&amp;"Separate123"&amp;IF($D$7="","XYZ",$D$7)&amp;"Separate123"&amp;"Row"&amp;ROW()</f>
        <v/>
      </c>
      <c r="C49" s="4" t="n"/>
      <c r="D49" s="43" t="n"/>
      <c r="E49" s="24">
        <f>IF(SUMIF($Q$11:$EQ$11,"R",Q49:EQ49)+SUMIF($Q$11:$EQ$11,"DT",Q49:EQ49)=0,"",SUMIF($Q$11:$EQ$11,"R",Q49:EQ49)+SUMIF($Q$11:$EQ$11,"DT",Q49:EQ49))</f>
        <v/>
      </c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6" t="n"/>
      <c r="R49" s="43" t="n"/>
      <c r="S49" s="43" t="n"/>
      <c r="T49" s="43" t="n"/>
      <c r="U49" s="43" t="n"/>
      <c r="V49" s="58" t="n"/>
      <c r="W49" s="3" t="n"/>
      <c r="X49" s="43" t="n"/>
      <c r="Y49" s="43" t="n"/>
      <c r="Z49" s="43" t="n"/>
      <c r="AA49" s="43" t="n"/>
      <c r="AB49" s="58" t="n"/>
      <c r="AC49" s="3" t="n"/>
      <c r="AD49" s="43" t="n"/>
      <c r="AE49" s="43" t="n"/>
      <c r="AF49" s="43" t="n"/>
      <c r="AG49" s="43" t="n"/>
      <c r="AH49" s="58" t="n"/>
      <c r="AI49" s="3" t="n"/>
      <c r="AJ49" s="43" t="n"/>
      <c r="AK49" s="43" t="n"/>
      <c r="AL49" s="43" t="n"/>
      <c r="AM49" s="43" t="n"/>
      <c r="AN49" s="58" t="n"/>
      <c r="AO49" s="3" t="n"/>
      <c r="AP49" s="43" t="n"/>
      <c r="AQ49" s="43" t="n"/>
      <c r="AR49" s="43" t="n"/>
      <c r="AS49" s="43" t="n"/>
      <c r="AT49" s="58" t="n"/>
      <c r="AU49" s="3" t="n"/>
      <c r="AV49" s="43" t="n"/>
      <c r="AW49" s="43" t="n"/>
      <c r="AX49" s="43" t="n"/>
      <c r="AY49" s="43" t="n"/>
      <c r="AZ49" s="58" t="n"/>
      <c r="BA49" s="3" t="n"/>
      <c r="BB49" s="43" t="n"/>
      <c r="BC49" s="43" t="n"/>
      <c r="BD49" s="43" t="n"/>
      <c r="BE49" s="43" t="n"/>
      <c r="BF49" s="58" t="n"/>
      <c r="BG49" s="3" t="n"/>
      <c r="BH49" s="43" t="n"/>
      <c r="BI49" s="43" t="n"/>
      <c r="BJ49" s="43" t="n"/>
      <c r="BK49" s="43" t="n"/>
      <c r="BL49" s="58" t="n"/>
      <c r="BM49" s="3" t="n"/>
      <c r="BN49" s="43" t="n"/>
      <c r="BO49" s="43" t="n"/>
      <c r="BP49" s="43" t="n"/>
      <c r="BQ49" s="43" t="n"/>
      <c r="BR49" s="58" t="n"/>
      <c r="BS49" s="3" t="n"/>
      <c r="BT49" s="43" t="n"/>
      <c r="BU49" s="43" t="n"/>
      <c r="BV49" s="43" t="n"/>
      <c r="BW49" s="43" t="n"/>
      <c r="BX49" s="58" t="n"/>
      <c r="BY49" s="3" t="n"/>
      <c r="BZ49" s="43" t="n"/>
      <c r="CA49" s="43" t="n"/>
      <c r="CB49" s="43" t="n"/>
      <c r="CC49" s="43" t="n"/>
      <c r="CD49" s="58" t="n"/>
      <c r="CE49" s="3" t="n"/>
      <c r="CF49" s="43" t="n"/>
      <c r="CG49" s="43" t="n"/>
      <c r="CH49" s="43" t="n"/>
      <c r="CI49" s="43" t="n"/>
      <c r="CJ49" s="58" t="n"/>
      <c r="CK49" s="3" t="n"/>
      <c r="CL49" s="43" t="n"/>
      <c r="CM49" s="43" t="n"/>
      <c r="CN49" s="43" t="n"/>
      <c r="CO49" s="43" t="n"/>
      <c r="CP49" s="58" t="n"/>
      <c r="CQ49" s="3" t="n"/>
      <c r="CR49" s="43" t="n"/>
      <c r="CS49" s="43" t="n"/>
      <c r="CT49" s="43" t="n"/>
      <c r="CU49" s="43" t="n"/>
      <c r="CV49" s="58" t="n"/>
      <c r="CW49" s="3" t="n"/>
      <c r="CX49" s="43" t="n"/>
      <c r="CY49" s="43" t="n"/>
      <c r="CZ49" s="43" t="n"/>
      <c r="DA49" s="43" t="n"/>
      <c r="DB49" s="58" t="n"/>
      <c r="DC49" s="3" t="n"/>
      <c r="DD49" s="43" t="n"/>
      <c r="DE49" s="43" t="n"/>
      <c r="DF49" s="43" t="n"/>
      <c r="DG49" s="43" t="n"/>
      <c r="DH49" s="58" t="n"/>
      <c r="DI49" s="3" t="n"/>
      <c r="DJ49" s="43" t="n"/>
      <c r="DK49" s="43" t="n"/>
      <c r="DL49" s="43" t="n"/>
      <c r="DM49" s="43" t="n"/>
      <c r="DN49" s="58" t="n"/>
      <c r="DO49" s="3" t="n"/>
      <c r="DP49" s="43" t="n"/>
      <c r="DQ49" s="43" t="n"/>
      <c r="DR49" s="43" t="n"/>
      <c r="DS49" s="43" t="n"/>
      <c r="DT49" s="58" t="n"/>
      <c r="DU49" s="3" t="n"/>
      <c r="DV49" s="43" t="n"/>
      <c r="DW49" s="43" t="n"/>
      <c r="DX49" s="43" t="n"/>
      <c r="DY49" s="43" t="n"/>
      <c r="DZ49" s="58" t="n"/>
      <c r="EA49" s="3" t="n"/>
      <c r="EB49" s="43" t="n"/>
      <c r="EC49" s="43" t="n"/>
      <c r="ED49" s="43" t="n"/>
      <c r="EE49" s="43" t="n"/>
      <c r="EF49" s="58" t="n"/>
      <c r="EG49" s="3" t="n"/>
      <c r="EH49" s="43" t="n"/>
      <c r="EI49" s="43" t="n"/>
      <c r="EJ49" s="43" t="n"/>
      <c r="EK49" s="43" t="n"/>
      <c r="EL49" s="58" t="n"/>
      <c r="EM49" s="3" t="n"/>
      <c r="EN49" s="43" t="n"/>
      <c r="EO49" s="43" t="n"/>
      <c r="EP49" s="43" t="n"/>
      <c r="EQ49" s="43" t="n"/>
    </row>
    <row r="50" customFormat="1" s="15">
      <c r="A50" s="14" t="inlineStr">
        <is>
          <t>Equip</t>
        </is>
      </c>
      <c r="B50" s="18">
        <f>TEXT($C$7,"yyyy-mm-dd")&amp;"Separate123"&amp;IF($D$7="","XYZ",$D$7)&amp;"Separate123"&amp;"Row"&amp;ROW()</f>
        <v/>
      </c>
      <c r="C50" s="4" t="n"/>
      <c r="D50" s="43" t="n"/>
      <c r="E50" s="24">
        <f>IF(SUMIF($Q$11:$EQ$11,"R",Q50:EQ50)+SUMIF($Q$11:$EQ$11,"DT",Q50:EQ50)=0,"",SUMIF($Q$11:$EQ$11,"R",Q50:EQ50)+SUMIF($Q$11:$EQ$11,"DT",Q50:EQ50))</f>
        <v/>
      </c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6" t="n"/>
      <c r="R50" s="43" t="n"/>
      <c r="S50" s="43" t="n"/>
      <c r="T50" s="43" t="n"/>
      <c r="U50" s="43" t="n"/>
      <c r="V50" s="58" t="n"/>
      <c r="W50" s="3" t="n"/>
      <c r="X50" s="43" t="n"/>
      <c r="Y50" s="43" t="n"/>
      <c r="Z50" s="43" t="n"/>
      <c r="AA50" s="43" t="n"/>
      <c r="AB50" s="58" t="n"/>
      <c r="AC50" s="3" t="n"/>
      <c r="AD50" s="43" t="n"/>
      <c r="AE50" s="43" t="n"/>
      <c r="AF50" s="43" t="n"/>
      <c r="AG50" s="43" t="n"/>
      <c r="AH50" s="58" t="n"/>
      <c r="AI50" s="3" t="n"/>
      <c r="AJ50" s="43" t="n"/>
      <c r="AK50" s="43" t="n"/>
      <c r="AL50" s="43" t="n"/>
      <c r="AM50" s="43" t="n"/>
      <c r="AN50" s="58" t="n"/>
      <c r="AO50" s="3" t="n"/>
      <c r="AP50" s="43" t="n"/>
      <c r="AQ50" s="43" t="n"/>
      <c r="AR50" s="43" t="n"/>
      <c r="AS50" s="43" t="n"/>
      <c r="AT50" s="58" t="n"/>
      <c r="AU50" s="3" t="n"/>
      <c r="AV50" s="43" t="n"/>
      <c r="AW50" s="43" t="n"/>
      <c r="AX50" s="43" t="n"/>
      <c r="AY50" s="43" t="n"/>
      <c r="AZ50" s="58" t="n"/>
      <c r="BA50" s="3" t="n"/>
      <c r="BB50" s="43" t="n"/>
      <c r="BC50" s="43" t="n"/>
      <c r="BD50" s="43" t="n"/>
      <c r="BE50" s="43" t="n"/>
      <c r="BF50" s="58" t="n"/>
      <c r="BG50" s="3" t="n"/>
      <c r="BH50" s="43" t="n"/>
      <c r="BI50" s="43" t="n"/>
      <c r="BJ50" s="43" t="n"/>
      <c r="BK50" s="43" t="n"/>
      <c r="BL50" s="58" t="n"/>
      <c r="BM50" s="3" t="n"/>
      <c r="BN50" s="43" t="n"/>
      <c r="BO50" s="43" t="n"/>
      <c r="BP50" s="43" t="n"/>
      <c r="BQ50" s="43" t="n"/>
      <c r="BR50" s="58" t="n"/>
      <c r="BS50" s="3" t="n"/>
      <c r="BT50" s="43" t="n"/>
      <c r="BU50" s="43" t="n"/>
      <c r="BV50" s="43" t="n"/>
      <c r="BW50" s="43" t="n"/>
      <c r="BX50" s="58" t="n"/>
      <c r="BY50" s="3" t="n"/>
      <c r="BZ50" s="43" t="n"/>
      <c r="CA50" s="43" t="n"/>
      <c r="CB50" s="43" t="n"/>
      <c r="CC50" s="43" t="n"/>
      <c r="CD50" s="58" t="n"/>
      <c r="CE50" s="3" t="n"/>
      <c r="CF50" s="43" t="n"/>
      <c r="CG50" s="43" t="n"/>
      <c r="CH50" s="43" t="n"/>
      <c r="CI50" s="43" t="n"/>
      <c r="CJ50" s="58" t="n"/>
      <c r="CK50" s="3" t="n"/>
      <c r="CL50" s="43" t="n"/>
      <c r="CM50" s="43" t="n"/>
      <c r="CN50" s="43" t="n"/>
      <c r="CO50" s="43" t="n"/>
      <c r="CP50" s="58" t="n"/>
      <c r="CQ50" s="3" t="n"/>
      <c r="CR50" s="43" t="n"/>
      <c r="CS50" s="43" t="n"/>
      <c r="CT50" s="43" t="n"/>
      <c r="CU50" s="43" t="n"/>
      <c r="CV50" s="58" t="n"/>
      <c r="CW50" s="3" t="n"/>
      <c r="CX50" s="43" t="n"/>
      <c r="CY50" s="43" t="n"/>
      <c r="CZ50" s="43" t="n"/>
      <c r="DA50" s="43" t="n"/>
      <c r="DB50" s="58" t="n"/>
      <c r="DC50" s="3" t="n"/>
      <c r="DD50" s="43" t="n"/>
      <c r="DE50" s="43" t="n"/>
      <c r="DF50" s="43" t="n"/>
      <c r="DG50" s="43" t="n"/>
      <c r="DH50" s="58" t="n"/>
      <c r="DI50" s="3" t="n"/>
      <c r="DJ50" s="43" t="n"/>
      <c r="DK50" s="43" t="n"/>
      <c r="DL50" s="43" t="n"/>
      <c r="DM50" s="43" t="n"/>
      <c r="DN50" s="58" t="n"/>
      <c r="DO50" s="3" t="n"/>
      <c r="DP50" s="43" t="n"/>
      <c r="DQ50" s="43" t="n"/>
      <c r="DR50" s="43" t="n"/>
      <c r="DS50" s="43" t="n"/>
      <c r="DT50" s="58" t="n"/>
      <c r="DU50" s="3" t="n"/>
      <c r="DV50" s="43" t="n"/>
      <c r="DW50" s="43" t="n"/>
      <c r="DX50" s="43" t="n"/>
      <c r="DY50" s="43" t="n"/>
      <c r="DZ50" s="58" t="n"/>
      <c r="EA50" s="3" t="n"/>
      <c r="EB50" s="43" t="n"/>
      <c r="EC50" s="43" t="n"/>
      <c r="ED50" s="43" t="n"/>
      <c r="EE50" s="43" t="n"/>
      <c r="EF50" s="58" t="n"/>
      <c r="EG50" s="3" t="n"/>
      <c r="EH50" s="43" t="n"/>
      <c r="EI50" s="43" t="n"/>
      <c r="EJ50" s="43" t="n"/>
      <c r="EK50" s="43" t="n"/>
      <c r="EL50" s="58" t="n"/>
      <c r="EM50" s="3" t="n"/>
      <c r="EN50" s="43" t="n"/>
      <c r="EO50" s="43" t="n"/>
      <c r="EP50" s="43" t="n"/>
      <c r="EQ50" s="43" t="n"/>
    </row>
    <row r="51" customFormat="1" s="15">
      <c r="A51" s="14" t="inlineStr">
        <is>
          <t>Equip</t>
        </is>
      </c>
      <c r="B51" s="18">
        <f>TEXT($C$7,"yyyy-mm-dd")&amp;"Separate123"&amp;IF($D$7="","XYZ",$D$7)&amp;"Separate123"&amp;"Row"&amp;ROW()</f>
        <v/>
      </c>
      <c r="C51" s="4" t="n"/>
      <c r="D51" s="43" t="n"/>
      <c r="E51" s="24">
        <f>IF(SUMIF($Q$11:$EQ$11,"R",Q51:EQ51)+SUMIF($Q$11:$EQ$11,"DT",Q51:EQ51)=0,"",SUMIF($Q$11:$EQ$11,"R",Q51:EQ51)+SUMIF($Q$11:$EQ$11,"DT",Q51:EQ51))</f>
        <v/>
      </c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6" t="n"/>
      <c r="R51" s="43" t="n"/>
      <c r="S51" s="43" t="n"/>
      <c r="T51" s="43" t="n"/>
      <c r="U51" s="43" t="n"/>
      <c r="V51" s="58" t="n"/>
      <c r="W51" s="3" t="n"/>
      <c r="X51" s="43" t="n"/>
      <c r="Y51" s="43" t="n"/>
      <c r="Z51" s="43" t="n"/>
      <c r="AA51" s="43" t="n"/>
      <c r="AB51" s="58" t="n"/>
      <c r="AC51" s="3" t="n"/>
      <c r="AD51" s="43" t="n"/>
      <c r="AE51" s="43" t="n"/>
      <c r="AF51" s="43" t="n"/>
      <c r="AG51" s="43" t="n"/>
      <c r="AH51" s="58" t="n"/>
      <c r="AI51" s="3" t="n"/>
      <c r="AJ51" s="43" t="n"/>
      <c r="AK51" s="43" t="n"/>
      <c r="AL51" s="43" t="n"/>
      <c r="AM51" s="43" t="n"/>
      <c r="AN51" s="58" t="n"/>
      <c r="AO51" s="3" t="n"/>
      <c r="AP51" s="43" t="n"/>
      <c r="AQ51" s="43" t="n"/>
      <c r="AR51" s="43" t="n"/>
      <c r="AS51" s="43" t="n"/>
      <c r="AT51" s="58" t="n"/>
      <c r="AU51" s="3" t="n"/>
      <c r="AV51" s="43" t="n"/>
      <c r="AW51" s="43" t="n"/>
      <c r="AX51" s="43" t="n"/>
      <c r="AY51" s="43" t="n"/>
      <c r="AZ51" s="58" t="n"/>
      <c r="BA51" s="3" t="n"/>
      <c r="BB51" s="43" t="n"/>
      <c r="BC51" s="43" t="n"/>
      <c r="BD51" s="43" t="n"/>
      <c r="BE51" s="43" t="n"/>
      <c r="BF51" s="58" t="n"/>
      <c r="BG51" s="3" t="n"/>
      <c r="BH51" s="43" t="n"/>
      <c r="BI51" s="43" t="n"/>
      <c r="BJ51" s="43" t="n"/>
      <c r="BK51" s="43" t="n"/>
      <c r="BL51" s="58" t="n"/>
      <c r="BM51" s="3" t="n"/>
      <c r="BN51" s="43" t="n"/>
      <c r="BO51" s="43" t="n"/>
      <c r="BP51" s="43" t="n"/>
      <c r="BQ51" s="43" t="n"/>
      <c r="BR51" s="58" t="n"/>
      <c r="BS51" s="3" t="n"/>
      <c r="BT51" s="43" t="n"/>
      <c r="BU51" s="43" t="n"/>
      <c r="BV51" s="43" t="n"/>
      <c r="BW51" s="43" t="n"/>
      <c r="BX51" s="58" t="n"/>
      <c r="BY51" s="3" t="n"/>
      <c r="BZ51" s="43" t="n"/>
      <c r="CA51" s="43" t="n"/>
      <c r="CB51" s="43" t="n"/>
      <c r="CC51" s="43" t="n"/>
      <c r="CD51" s="58" t="n"/>
      <c r="CE51" s="3" t="n"/>
      <c r="CF51" s="43" t="n"/>
      <c r="CG51" s="43" t="n"/>
      <c r="CH51" s="43" t="n"/>
      <c r="CI51" s="43" t="n"/>
      <c r="CJ51" s="58" t="n"/>
      <c r="CK51" s="3" t="n"/>
      <c r="CL51" s="43" t="n"/>
      <c r="CM51" s="43" t="n"/>
      <c r="CN51" s="43" t="n"/>
      <c r="CO51" s="43" t="n"/>
      <c r="CP51" s="58" t="n"/>
      <c r="CQ51" s="3" t="n"/>
      <c r="CR51" s="43" t="n"/>
      <c r="CS51" s="43" t="n"/>
      <c r="CT51" s="43" t="n"/>
      <c r="CU51" s="43" t="n"/>
      <c r="CV51" s="58" t="n"/>
      <c r="CW51" s="3" t="n"/>
      <c r="CX51" s="43" t="n"/>
      <c r="CY51" s="43" t="n"/>
      <c r="CZ51" s="43" t="n"/>
      <c r="DA51" s="43" t="n"/>
      <c r="DB51" s="58" t="n"/>
      <c r="DC51" s="3" t="n"/>
      <c r="DD51" s="43" t="n"/>
      <c r="DE51" s="43" t="n"/>
      <c r="DF51" s="43" t="n"/>
      <c r="DG51" s="43" t="n"/>
      <c r="DH51" s="58" t="n"/>
      <c r="DI51" s="3" t="n"/>
      <c r="DJ51" s="43" t="n"/>
      <c r="DK51" s="43" t="n"/>
      <c r="DL51" s="43" t="n"/>
      <c r="DM51" s="43" t="n"/>
      <c r="DN51" s="58" t="n"/>
      <c r="DO51" s="3" t="n"/>
      <c r="DP51" s="43" t="n"/>
      <c r="DQ51" s="43" t="n"/>
      <c r="DR51" s="43" t="n"/>
      <c r="DS51" s="43" t="n"/>
      <c r="DT51" s="58" t="n"/>
      <c r="DU51" s="3" t="n"/>
      <c r="DV51" s="43" t="n"/>
      <c r="DW51" s="43" t="n"/>
      <c r="DX51" s="43" t="n"/>
      <c r="DY51" s="43" t="n"/>
      <c r="DZ51" s="58" t="n"/>
      <c r="EA51" s="3" t="n"/>
      <c r="EB51" s="43" t="n"/>
      <c r="EC51" s="43" t="n"/>
      <c r="ED51" s="43" t="n"/>
      <c r="EE51" s="43" t="n"/>
      <c r="EF51" s="58" t="n"/>
      <c r="EG51" s="3" t="n"/>
      <c r="EH51" s="43" t="n"/>
      <c r="EI51" s="43" t="n"/>
      <c r="EJ51" s="43" t="n"/>
      <c r="EK51" s="43" t="n"/>
      <c r="EL51" s="58" t="n"/>
      <c r="EM51" s="3" t="n"/>
      <c r="EN51" s="43" t="n"/>
      <c r="EO51" s="43" t="n"/>
      <c r="EP51" s="43" t="n"/>
      <c r="EQ51" s="43" t="n"/>
    </row>
    <row r="52">
      <c r="Q52" s="26" t="n"/>
      <c r="V52" s="59" t="n"/>
      <c r="AB52" s="59" t="n"/>
      <c r="AH52" s="59" t="n"/>
      <c r="AN52" s="59" t="n"/>
      <c r="AT52" s="59" t="n"/>
      <c r="AZ52" s="59" t="n"/>
      <c r="BF52" s="59" t="n"/>
      <c r="BL52" s="59" t="n"/>
      <c r="BR52" s="59" t="n"/>
      <c r="BX52" s="59" t="n"/>
      <c r="CD52" s="59" t="n"/>
      <c r="CJ52" s="59" t="n"/>
      <c r="CP52" s="59" t="n"/>
      <c r="CV52" s="59" t="n"/>
      <c r="DB52" s="59" t="n"/>
      <c r="DH52" s="59" t="n"/>
      <c r="DN52" s="59" t="n"/>
      <c r="DT52" s="59" t="n"/>
      <c r="DZ52" s="59" t="n"/>
      <c r="EF52" s="59" t="n"/>
      <c r="EL52" s="59" t="n"/>
    </row>
    <row r="53" ht="72" customFormat="1" customHeight="1" s="15">
      <c r="A53" s="14" t="n"/>
      <c r="B53" s="19" t="n"/>
      <c r="C53" s="89" t="inlineStr">
        <is>
          <t>Description of work accomplished, issues encountered, etc.</t>
        </is>
      </c>
      <c r="D53" s="63" t="n"/>
      <c r="E53" s="63" t="n"/>
      <c r="F53" s="63" t="n"/>
      <c r="G53" s="63" t="n"/>
      <c r="H53" s="63" t="n"/>
      <c r="I53" s="63" t="n"/>
      <c r="J53" s="63" t="n"/>
      <c r="K53" s="12" t="n"/>
      <c r="L53" s="12" t="n"/>
      <c r="M53" s="12" t="n"/>
      <c r="N53" s="12" t="n"/>
      <c r="O53" s="12" t="n"/>
      <c r="P53" s="12" t="n"/>
      <c r="Q53" s="77" t="inlineStr">
        <is>
          <t xml:space="preserve">Job Specific </t>
        </is>
      </c>
      <c r="R53" s="90" t="n"/>
      <c r="S53" s="90" t="n"/>
      <c r="T53" s="90" t="n"/>
      <c r="U53" s="91" t="n"/>
      <c r="V53" s="61" t="n"/>
      <c r="W53" s="77" t="inlineStr">
        <is>
          <t xml:space="preserve">Job Specific </t>
        </is>
      </c>
      <c r="X53" s="90" t="n"/>
      <c r="Y53" s="90" t="n"/>
      <c r="Z53" s="90" t="n"/>
      <c r="AA53" s="91" t="n"/>
      <c r="AB53" s="61" t="n"/>
      <c r="AC53" s="76" t="inlineStr">
        <is>
          <t xml:space="preserve">Job Specific </t>
        </is>
      </c>
      <c r="AD53" s="90" t="n"/>
      <c r="AE53" s="90" t="n"/>
      <c r="AF53" s="90" t="n"/>
      <c r="AG53" s="91" t="n"/>
      <c r="AH53" s="61" t="n"/>
      <c r="AI53" s="76" t="inlineStr">
        <is>
          <t>Job Specific</t>
        </is>
      </c>
      <c r="AJ53" s="90" t="n"/>
      <c r="AK53" s="90" t="n"/>
      <c r="AL53" s="90" t="n"/>
      <c r="AM53" s="91" t="n"/>
      <c r="AN53" s="61" t="n"/>
      <c r="AO53" s="76" t="inlineStr">
        <is>
          <t>Job Specific</t>
        </is>
      </c>
      <c r="AP53" s="90" t="n"/>
      <c r="AQ53" s="90" t="n"/>
      <c r="AR53" s="90" t="n"/>
      <c r="AS53" s="91" t="n"/>
      <c r="AT53" s="61" t="n"/>
      <c r="AU53" s="76" t="inlineStr">
        <is>
          <t>Job Specific</t>
        </is>
      </c>
      <c r="AV53" s="90" t="n"/>
      <c r="AW53" s="90" t="n"/>
      <c r="AX53" s="90" t="n"/>
      <c r="AY53" s="91" t="n"/>
      <c r="AZ53" s="61" t="n"/>
      <c r="BA53" s="76" t="inlineStr">
        <is>
          <t>Job Specific</t>
        </is>
      </c>
      <c r="BB53" s="90" t="n"/>
      <c r="BC53" s="90" t="n"/>
      <c r="BD53" s="90" t="n"/>
      <c r="BE53" s="91" t="n"/>
      <c r="BF53" s="61" t="n"/>
      <c r="BG53" s="76" t="inlineStr">
        <is>
          <t>Job Specific</t>
        </is>
      </c>
      <c r="BH53" s="90" t="n"/>
      <c r="BI53" s="90" t="n"/>
      <c r="BJ53" s="90" t="n"/>
      <c r="BK53" s="91" t="n"/>
      <c r="BL53" s="61" t="n"/>
      <c r="BM53" s="76" t="inlineStr">
        <is>
          <t>Job Specific</t>
        </is>
      </c>
      <c r="BN53" s="90" t="n"/>
      <c r="BO53" s="90" t="n"/>
      <c r="BP53" s="90" t="n"/>
      <c r="BQ53" s="91" t="n"/>
      <c r="BR53" s="61" t="n"/>
      <c r="BS53" s="76" t="inlineStr">
        <is>
          <t>Job Specific</t>
        </is>
      </c>
      <c r="BT53" s="90" t="n"/>
      <c r="BU53" s="90" t="n"/>
      <c r="BV53" s="90" t="n"/>
      <c r="BW53" s="91" t="n"/>
      <c r="BX53" s="61" t="n"/>
      <c r="BY53" s="76" t="inlineStr">
        <is>
          <t>Job Specific</t>
        </is>
      </c>
      <c r="BZ53" s="90" t="n"/>
      <c r="CA53" s="90" t="n"/>
      <c r="CB53" s="90" t="n"/>
      <c r="CC53" s="91" t="n"/>
      <c r="CD53" s="61" t="n"/>
      <c r="CE53" s="76" t="inlineStr">
        <is>
          <t>Job Specific</t>
        </is>
      </c>
      <c r="CF53" s="90" t="n"/>
      <c r="CG53" s="90" t="n"/>
      <c r="CH53" s="90" t="n"/>
      <c r="CI53" s="91" t="n"/>
      <c r="CJ53" s="61" t="n"/>
      <c r="CK53" s="76" t="inlineStr">
        <is>
          <t>Job Specific</t>
        </is>
      </c>
      <c r="CL53" s="90" t="n"/>
      <c r="CM53" s="90" t="n"/>
      <c r="CN53" s="90" t="n"/>
      <c r="CO53" s="91" t="n"/>
      <c r="CP53" s="61" t="n"/>
      <c r="CQ53" s="76" t="inlineStr">
        <is>
          <t>Job Specific</t>
        </is>
      </c>
      <c r="CR53" s="90" t="n"/>
      <c r="CS53" s="90" t="n"/>
      <c r="CT53" s="90" t="n"/>
      <c r="CU53" s="91" t="n"/>
      <c r="CV53" s="61" t="n"/>
      <c r="CW53" s="76" t="inlineStr">
        <is>
          <t>Job Specific</t>
        </is>
      </c>
      <c r="CX53" s="90" t="n"/>
      <c r="CY53" s="90" t="n"/>
      <c r="CZ53" s="90" t="n"/>
      <c r="DA53" s="91" t="n"/>
      <c r="DB53" s="61" t="n"/>
      <c r="DC53" s="76" t="inlineStr">
        <is>
          <t>Job Specific</t>
        </is>
      </c>
      <c r="DD53" s="90" t="n"/>
      <c r="DE53" s="90" t="n"/>
      <c r="DF53" s="90" t="n"/>
      <c r="DG53" s="91" t="n"/>
      <c r="DH53" s="61" t="n"/>
      <c r="DI53" s="76" t="inlineStr">
        <is>
          <t>Job Specific</t>
        </is>
      </c>
      <c r="DJ53" s="90" t="n"/>
      <c r="DK53" s="90" t="n"/>
      <c r="DL53" s="90" t="n"/>
      <c r="DM53" s="91" t="n"/>
      <c r="DN53" s="61" t="n"/>
      <c r="DO53" s="76" t="inlineStr">
        <is>
          <t>Job Specific</t>
        </is>
      </c>
      <c r="DP53" s="90" t="n"/>
      <c r="DQ53" s="90" t="n"/>
      <c r="DR53" s="90" t="n"/>
      <c r="DS53" s="91" t="n"/>
      <c r="DT53" s="61" t="n"/>
      <c r="DU53" s="76" t="inlineStr">
        <is>
          <t>Job Specific</t>
        </is>
      </c>
      <c r="DV53" s="90" t="n"/>
      <c r="DW53" s="90" t="n"/>
      <c r="DX53" s="90" t="n"/>
      <c r="DY53" s="91" t="n"/>
      <c r="DZ53" s="61" t="n"/>
      <c r="EA53" s="76" t="inlineStr">
        <is>
          <t>Job Specific</t>
        </is>
      </c>
      <c r="EB53" s="90" t="n"/>
      <c r="EC53" s="90" t="n"/>
      <c r="ED53" s="90" t="n"/>
      <c r="EE53" s="91" t="n"/>
      <c r="EF53" s="61" t="n"/>
      <c r="EG53" s="76" t="inlineStr">
        <is>
          <t>Job Specific</t>
        </is>
      </c>
      <c r="EH53" s="90" t="n"/>
      <c r="EI53" s="90" t="n"/>
      <c r="EJ53" s="90" t="n"/>
      <c r="EK53" s="91" t="n"/>
      <c r="EL53" s="61" t="n"/>
      <c r="EM53" s="76" t="inlineStr">
        <is>
          <t>Job Specific</t>
        </is>
      </c>
      <c r="EN53" s="90" t="n"/>
      <c r="EO53" s="90" t="n"/>
      <c r="EP53" s="90" t="n"/>
      <c r="EQ53" s="91" t="n"/>
    </row>
  </sheetData>
  <mergeCells count="22">
    <mergeCell ref="CW53:DA53"/>
    <mergeCell ref="W53:AA53"/>
    <mergeCell ref="DI53:DM53"/>
    <mergeCell ref="Q53:U53"/>
    <mergeCell ref="BS53:BW53"/>
    <mergeCell ref="BY53:CC53"/>
    <mergeCell ref="AI53:AM53"/>
    <mergeCell ref="DU53:DY53"/>
    <mergeCell ref="CE53:CI53"/>
    <mergeCell ref="EA53:EE53"/>
    <mergeCell ref="EG53:EK53"/>
    <mergeCell ref="AC53:AG53"/>
    <mergeCell ref="AO53:AS53"/>
    <mergeCell ref="CQ53:CU53"/>
    <mergeCell ref="DC53:DG53"/>
    <mergeCell ref="CK53:CO53"/>
    <mergeCell ref="DO53:DS53"/>
    <mergeCell ref="AU53:AY53"/>
    <mergeCell ref="BA53:BE53"/>
    <mergeCell ref="EM53:EQ53"/>
    <mergeCell ref="BG53:BK53"/>
    <mergeCell ref="BM53:BQ53"/>
  </mergeCells>
  <conditionalFormatting sqref="C8">
    <cfRule type="expression" priority="31" dxfId="0">
      <formula>NOT(ISNUMBER(C7))</formula>
    </cfRule>
  </conditionalFormatting>
  <conditionalFormatting sqref="C12:C31">
    <cfRule type="expression" priority="28" dxfId="0">
      <formula>AND(C12="",E12&lt;&gt;"",E12&gt;0)</formula>
    </cfRule>
  </conditionalFormatting>
  <conditionalFormatting sqref="D8">
    <cfRule type="expression" priority="30" dxfId="0">
      <formula>ISBLANK(D7)</formula>
    </cfRule>
  </conditionalFormatting>
  <conditionalFormatting sqref="D12:D31">
    <cfRule type="expression" priority="27" dxfId="0">
      <formula>AND(D12="",E12&lt;&gt;"",E12&gt;0)</formula>
    </cfRule>
  </conditionalFormatting>
  <conditionalFormatting sqref="H12:H31">
    <cfRule type="expression" priority="29" dxfId="0">
      <formula>AND(H12="",E12&lt;&gt;"",E12&gt;0)</formula>
    </cfRule>
  </conditionalFormatting>
  <conditionalFormatting sqref="I12:J31">
    <cfRule type="expression" priority="1" dxfId="0">
      <formula>AND(I12="",COUNTIFS($Q$11:$EQ$11,"Hold Up Type",$Q12:$EQ12,"Approved Offsite / Swipe Deviation")&gt;0)</formula>
    </cfRule>
  </conditionalFormatting>
  <conditionalFormatting sqref="K12:K31 M12:M31 O12:O31">
    <cfRule type="expression" priority="33" dxfId="25">
      <formula>OR(K12="y", K12="Y")</formula>
    </cfRule>
  </conditionalFormatting>
  <conditionalFormatting sqref="L12:L31">
    <cfRule type="expression" priority="26" dxfId="0">
      <formula>OR(AND(K12="y",L12=""),AND(K12="",L12&lt;&gt;""))</formula>
    </cfRule>
  </conditionalFormatting>
  <conditionalFormatting sqref="N12:N31">
    <cfRule type="expression" priority="25" dxfId="0">
      <formula>OR(AND(M12="y",N12=""),AND(M12="",N12&lt;&gt;""))</formula>
    </cfRule>
  </conditionalFormatting>
  <conditionalFormatting sqref="P12:P31">
    <cfRule type="expression" priority="24" dxfId="0">
      <formula>OR(AND(O12="y",P12=""), AND(O12="",P12&lt;&gt;""))</formula>
    </cfRule>
  </conditionalFormatting>
  <conditionalFormatting sqref="U12:U31">
    <cfRule type="expression" priority="23" dxfId="0">
      <formula>AND(SUM(S12:T12)&gt;0,U12="")</formula>
    </cfRule>
  </conditionalFormatting>
  <conditionalFormatting sqref="AA12:AA31">
    <cfRule type="expression" priority="22" dxfId="0">
      <formula>AND(SUM(Y12:Z12)&gt;0,AA12="")</formula>
    </cfRule>
  </conditionalFormatting>
  <conditionalFormatting sqref="AG12:AG31">
    <cfRule type="expression" priority="21" dxfId="0">
      <formula>AND(SUM(AE12:AF12)&gt;0,AG12="")</formula>
    </cfRule>
  </conditionalFormatting>
  <conditionalFormatting sqref="AM12:AM31">
    <cfRule type="expression" priority="20" dxfId="0">
      <formula>AND(SUM(AK12:AL12)&gt;0,AM12="")</formula>
    </cfRule>
  </conditionalFormatting>
  <conditionalFormatting sqref="AS12:AS31">
    <cfRule type="expression" priority="19" dxfId="0">
      <formula>AND(SUM(AQ12:AR12)&gt;0,AS12="")</formula>
    </cfRule>
  </conditionalFormatting>
  <conditionalFormatting sqref="AY12:AY31">
    <cfRule type="expression" priority="18" dxfId="0">
      <formula>AND(SUM(AW12:AX12)&gt;0,AY12="")</formula>
    </cfRule>
  </conditionalFormatting>
  <conditionalFormatting sqref="BE12:BE31">
    <cfRule type="expression" priority="17" dxfId="0">
      <formula>AND(SUM(BC12:BD12)&gt;0,BE12="")</formula>
    </cfRule>
  </conditionalFormatting>
  <conditionalFormatting sqref="BK12:BK31">
    <cfRule type="expression" priority="16" dxfId="0">
      <formula>AND(SUM(BI12:BJ12)&gt;0,BK12="")</formula>
    </cfRule>
  </conditionalFormatting>
  <conditionalFormatting sqref="BQ12:BQ31">
    <cfRule type="expression" priority="15" dxfId="0">
      <formula>AND(SUM(BO12:BP12)&gt;0,BQ12="")</formula>
    </cfRule>
  </conditionalFormatting>
  <conditionalFormatting sqref="BW12:BW31">
    <cfRule type="expression" priority="14" dxfId="0">
      <formula>AND(SUM(BU12:BV12)&gt;0,BW12="")</formula>
    </cfRule>
  </conditionalFormatting>
  <conditionalFormatting sqref="CC12:CC31">
    <cfRule type="expression" priority="13" dxfId="0">
      <formula>AND(SUM(CA12:CB12)&gt;0,CC12="")</formula>
    </cfRule>
  </conditionalFormatting>
  <conditionalFormatting sqref="CI12:CI31">
    <cfRule type="expression" priority="12" dxfId="0">
      <formula>AND(SUM(CG12:CH12)&gt;0,CI12="")</formula>
    </cfRule>
  </conditionalFormatting>
  <conditionalFormatting sqref="CO12:CO31">
    <cfRule type="expression" priority="11" dxfId="0">
      <formula>AND(SUM(CM12:CN12)&gt;0,CO12="")</formula>
    </cfRule>
  </conditionalFormatting>
  <conditionalFormatting sqref="CU12:CU31">
    <cfRule type="expression" priority="10" dxfId="0">
      <formula>AND(SUM(CS12:CT12)&gt;0,CU12="")</formula>
    </cfRule>
  </conditionalFormatting>
  <conditionalFormatting sqref="DA12:DA31">
    <cfRule type="expression" priority="9" dxfId="0">
      <formula>AND(SUM(CY12:CZ12)&gt;0,DA12="")</formula>
    </cfRule>
  </conditionalFormatting>
  <conditionalFormatting sqref="DG12:DG31">
    <cfRule type="expression" priority="8" dxfId="0">
      <formula>AND(SUM(DE12:DF12)&gt;0,DG12="")</formula>
    </cfRule>
  </conditionalFormatting>
  <conditionalFormatting sqref="DM12:DM31">
    <cfRule type="expression" priority="7" dxfId="0">
      <formula>AND(SUM(DK12:DL12)&gt;0,DM12="")</formula>
    </cfRule>
  </conditionalFormatting>
  <conditionalFormatting sqref="DS12:DS31">
    <cfRule type="expression" priority="6" dxfId="0">
      <formula>AND(SUM(DQ12:DR12)&gt;0,DS12="")</formula>
    </cfRule>
  </conditionalFormatting>
  <conditionalFormatting sqref="DY12:DY31">
    <cfRule type="expression" priority="5" dxfId="0">
      <formula>AND(SUM(DW12:DX12)&gt;0,DY12="")</formula>
    </cfRule>
  </conditionalFormatting>
  <conditionalFormatting sqref="EE12:EE31">
    <cfRule type="expression" priority="4" dxfId="0">
      <formula>AND(SUM(EC12:ED12)&gt;0,EE12="")</formula>
    </cfRule>
  </conditionalFormatting>
  <conditionalFormatting sqref="EK12:EK31">
    <cfRule type="expression" priority="3" dxfId="0">
      <formula>AND(SUM(EI12:EJ12)&gt;0,EK12="")</formula>
    </cfRule>
  </conditionalFormatting>
  <conditionalFormatting sqref="EQ12:EQ31">
    <cfRule type="expression" priority="2" dxfId="0">
      <formula>AND(SUM(EO12:EP12)&gt;0,EQ12="")</formula>
    </cfRule>
  </conditionalFormatting>
  <dataValidations count="13">
    <dataValidation sqref="V12:V31 AA35:AB51 AB12:AB31 AG35:AH51 AH12:AH31 AM35:AN51 AN12:AN31 AS35:AT51 AT12:AT31 AY35:AZ51 AZ12:AZ31 BE35:BF51 BF12:BF31 BK35:BL51 BL12:BL31 BQ35:BR51 BR12:BR31 BW35:BX51 BX12:BX31 CC35:CD51 CD12:CD31 CI35:CJ51 CJ12:CJ31 CO35:CP51 CP12:CP31 CU35:CV51 CV12:CV31 DA35:DB51 DB12:DB31 DG35:DH51 DH12:DH31 DM35:DN51 DN12:DN31 DS35:DT51 DT12:DT31 DY35:DZ51 DZ12:DZ31 EE35:EF51 EF12:EF31 EK35:EL51 EL12:EL31 EQ35:EQ51" showDropDown="0" showInputMessage="1" showErrorMessage="1" allowBlank="1" type="list">
      <formula1>INDIRECT("tblHoldUp")</formula1>
    </dataValidation>
    <dataValidation sqref="K12:K31 M12:M31 O12:O31" showDropDown="0" showInputMessage="1" showErrorMessage="1" allowBlank="1" type="list">
      <formula1>"Y, y"</formula1>
    </dataValidation>
    <dataValidation sqref="D7" showDropDown="0" showInputMessage="1" showErrorMessage="1" allowBlank="1" type="list">
      <formula1>INDIRECT("Timecard_Shift")</formula1>
    </dataValidation>
    <dataValidation sqref="Q12:T31 Q38:Q40 Q42 Q44 Q46:Q51 W12:Z31 W38:W40 W42 W44 W46:W51 AC12:AF31 AC38:AC40 AC42 AC44 AC46:AC51 AI12:AL31 AI38:AI40 AI42 AI44 AI46:AI51 AO12:AR31 AO38:AO40 AO42 AO44 AO46:AO51 AU12:AX31 AU38:AU40 AU42 AU44 AU46:AU51 BA12:BD31 BA38:BA40 BA42 BA44 BA46:BA51 BG12:BJ31 BG38:BG40 BG42 BG44 BG46:BG51 BM12:BP31 BM38:BM40 BM42 BM44 BM46:BM51 BS12:BV31 BS38:BS40 BS42 BS44 BS46:BS51 BY12:CB31 BY38:BY40 BY42 BY44 BY46:BY51 CE12:CH31 CE38:CE40 CE42 CE44 CE46:CE51 CK12:CN31 CK38:CK40 CK42 CK44 CK46:CK51 CQ12:CT31 CQ38:CQ40 CQ42 CQ44 CQ46:CQ51 CW12:CZ31 CW38:CW40 CW42 CW44 CW46:CW51 DC12:DF31 DC38:DC40 DC42 DC44 DC46:DC51 DI12:DL31 DI38:DI40 DI42 DI44 DI46:DI51 DO12:DR31 DO38:DO40 DO42 DO44 DO46:DO51 DU12:DX31 DU38:DU40 DU42 DU44 DU46:DU51 EA12:ED31 EA38:EA40 EA42 EA44 EA46:EA51 EG12:EJ31 EG38:EG40 EG42 EG44 EG46:EG51 EM12:EP31 EM38:EM40 EM42 EM44 EM46:EM51" showDropDown="0" showInputMessage="1" showErrorMessage="1" allowBlank="1" type="decimal">
      <formula1>0</formula1>
      <formula2>1000</formula2>
    </dataValidation>
    <dataValidation sqref="C7" showDropDown="0" showInputMessage="1" showErrorMessage="1" allowBlank="1" errorTitle="Date Format" error="Date format must be used. Try 3 letter month, space, then numeric date." type="date">
      <formula1>C1</formula1>
      <formula2>C2</formula2>
    </dataValidation>
    <dataValidation sqref="Q8 W8 AC8 AI8 AO8 AU8 BA8 BG8 BM8 BY8 CE8 CK8 CQ8 CW8 DC8 DI8 DO8 DU8 EA8 EG8 EM8" showDropDown="0" showInputMessage="1" showErrorMessage="1" allowBlank="1" errorTitle="Job Number Format" error="Must be ##-##-####" promptTitle="Format must be ##-##-####" type="custom">
      <formula1>OR(Q8="01-23-5004",AND(LEN(Q8)&lt;11, MID(Q8,3,1)="-",MID(Q8,6,1)="-",LEFT(Q8,1)="0", LEN(Q8)-LEN(SUBSTITUTE(Q8,"-","")) = 2))</formula1>
    </dataValidation>
    <dataValidation sqref="I12:I31" showDropDown="0" showInputMessage="1" showErrorMessage="1" allowBlank="1" type="list">
      <formula1>INDIRECT("Timecard_Approved_Offsite")</formula1>
    </dataValidation>
    <dataValidation sqref="U12:U31 AA12:AA31 AG12:AG31 AM12:AM31 AS12:AS31 AY12:AY31 BE12:BE31 BK12:BK31 BQ12:BQ31 BW12:BW31 CC12:CC31 CI12:CI31 CO12:CO31 CU12:CU31 DA12:DA31 DG12:DG31 DM12:DM31 DS12:DS31 DY12:DY31 EE12:EE31 EK12:EK31 EQ12:EQ31" showDropDown="0" showInputMessage="1" showErrorMessage="1" allowBlank="1" type="list">
      <formula1>INDIRECT("Timecard_Hold_Up_Types")</formula1>
    </dataValidation>
    <dataValidation sqref="H12:H31" showDropDown="0" showInputMessage="1" showErrorMessage="1" allowBlank="1" type="list">
      <formula1>INDIRECT("Timecard_Shop_Locations")</formula1>
    </dataValidation>
    <dataValidation sqref="C46:C51" showDropDown="0" showInputMessage="1" showErrorMessage="1" allowBlank="1" type="list">
      <formula1>INDIRECT("Timecard_Equipment")</formula1>
    </dataValidation>
    <dataValidation sqref="Q7 W7 AC7 AI7 AO7 AU7 BA7 BG7 BM7 BS7 BY7 CE7 CK7 CQ7 CW7 DC7 DI7 DO7 DU7 EA7 EG7 EM7" showDropDown="0" showInputMessage="1" showErrorMessage="1" allowBlank="1" errorTitle="Client Name" error="Must enter valid client. Contact Julie Walters if needed value is missing." type="list">
      <formula1>INDIRECT("Timecard_Companies")</formula1>
    </dataValidation>
    <dataValidation sqref="C12:C31" showDropDown="0" showInputMessage="1" showErrorMessage="1" allowBlank="1" errorTitle="Need Employee Name" error="Must enter valid employee name. Contact Julie Walters if names are missing." type="list">
      <formula1>INDIRECT("Timecard_Employee_Names")</formula1>
    </dataValidation>
    <dataValidation sqref="D12:D31" showDropDown="0" showInputMessage="1" showErrorMessage="1" allowBlank="1" type="list">
      <formula1>INDIRECT("Timecard_Trades")</formula1>
    </dataValidation>
  </dataValidations>
  <pageMargins left="0.1574803149606299" right="0.1574803149606299" top="0.1968503937007874" bottom="0.3543307086614174" header="0.1574803149606299" footer="0.1181102362204725"/>
  <pageSetup orientation="landscape" paperSize="8" scale="98" fitToWidth="0"/>
  <headerFooter>
    <oddHeader/>
    <oddFooter>&amp;RPage &amp;P of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Douglas Jamer</dc:creator>
  <dcterms:created xsi:type="dcterms:W3CDTF">2023-02-10T19:55:09Z</dcterms:created>
  <dcterms:modified xsi:type="dcterms:W3CDTF">2026-07-22T23:30:13Z</dcterms:modified>
  <cp:lastModifiedBy>Time Keeper</cp:lastModifiedBy>
  <cp:lastPrinted>2023-07-05T13:07:22Z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0x0101005ED38194D55C314881EA551C5F0F757B</vt:lpwstr>
  </property>
</Properties>
</file>