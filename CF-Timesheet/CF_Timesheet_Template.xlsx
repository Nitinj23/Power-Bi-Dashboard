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sheet" sheetId="1" state="visible" r:id="rId1"/>
    <sheet name="Reference" sheetId="2" state="visible" r:id="rId2"/>
    <sheet name="Work Orders" sheetId="3" state="visible" r:id="rId3"/>
    <sheet name="_OP" sheetId="4" state="hidden" r:id="rId4"/>
    <sheet name="FAQ" sheetId="5" state="visible" r:id="rId5"/>
  </sheets>
  <definedNames>
    <definedName name="WO_20000563">_OP!$A$2:$A$4</definedName>
    <definedName name="WO_40011104">_OP!$B$2:$B$2</definedName>
    <definedName name="WO_40011112">_OP!$C$2:$C$2</definedName>
    <definedName name="WO_40011116">_OP!$D$2:$D$2</definedName>
    <definedName name="WO_40011117">_OP!$E$2:$E$2</definedName>
    <definedName name="WO_40011123">_OP!$F$2:$F$2</definedName>
    <definedName name="WO_40011128">_OP!$G$2:$G$2</definedName>
    <definedName name="WO_40011133">_OP!$H$2:$H$2</definedName>
    <definedName name="WO_40011136">_OP!$I$2:$I$2</definedName>
    <definedName name="WO_40011137">_OP!$J$2:$J$2</definedName>
    <definedName name="WO_40011141">_OP!$K$2:$K$2</definedName>
    <definedName name="WO_40011143">_OP!$L$2:$L$2</definedName>
    <definedName name="WO_40011148">_OP!$M$2:$M$15</definedName>
    <definedName name="WO_40011180">_OP!$N$2:$N$2</definedName>
    <definedName name="WO_40011187">_OP!$O$2:$O$2</definedName>
    <definedName name="WO_40011193">_OP!$P$2:$P$2</definedName>
    <definedName name="WO_40011195">_OP!$Q$2:$Q$2</definedName>
    <definedName name="WO_40011204">_OP!$R$2:$R$2</definedName>
    <definedName name="WO_40011212">_OP!$S$2:$S$2</definedName>
    <definedName name="WO_40011214">_OP!$T$2:$T$2</definedName>
    <definedName name="WO_40011221">_OP!$U$2:$U$2</definedName>
    <definedName name="WO_40011275">_OP!$V$2:$V$2</definedName>
    <definedName name="WO_40011340">_OP!$W$2:$W$2</definedName>
    <definedName name="WO_40011687">_OP!$X$2:$X$3</definedName>
    <definedName name="WO_40011725">_OP!$Y$2:$Y$2</definedName>
    <definedName name="WO_40012304">_OP!$Z$2:$Z$3</definedName>
    <definedName name="WO_40012416">_OP!$AA$2:$AA$2</definedName>
    <definedName name="WO_40012452">_OP!$AB$2:$AB$3</definedName>
    <definedName name="WO_40012698">_OP!$AC$2:$AC$2</definedName>
    <definedName name="WO_40012709">_OP!$AD$2:$AD$2</definedName>
    <definedName name="WO_40012745">_OP!$AE$2:$AE$2</definedName>
    <definedName name="WO_40012841">_OP!$AF$2:$AF$5</definedName>
    <definedName name="WO_40012858">_OP!$AG$2:$AG$2</definedName>
    <definedName name="WO_60009672">_OP!$AH$2:$AH$3</definedName>
    <definedName name="WO_60009689">_OP!$AI$2:$AI$2</definedName>
    <definedName name="WO_60009975">_OP!$AJ$2:$AJ$2</definedName>
    <definedName name="WO_60010151">_OP!$AK$2:$AK$2</definedName>
    <definedName name="WO_60010684">_OP!$AL$2:$AL$2</definedName>
    <definedName name="WO_60010769">_OP!$AM$2:$AM$2</definedName>
    <definedName name="WO_60015208">_OP!$AN$2:$AN$2</definedName>
    <definedName name="WO_60041037">_OP!$AO$2:$AO$2</definedName>
    <definedName name="WO_60043945">_OP!$AP$2:$AP$9</definedName>
    <definedName name="WO_60043985">_OP!$AQ$2:$AQ$8</definedName>
    <definedName name="WO_60043993">_OP!$AR$2:$AR$8</definedName>
    <definedName name="VendorNames">Reference!$C$3:$C$53</definedName>
    <definedName name="EmpNames">Reference!$E$3:$E$403</definedName>
    <definedName name="TradeNames">Reference!$I$3:$I$203</definedName>
    <definedName name="PONames">Reference!$K$3:$K$303</definedName>
    <definedName name="ShiftList">Reference!$M$3:$M$4</definedName>
    <definedName name="LocList">Reference!$N$3:$N$5</definedName>
    <definedName name="OffsiteCatList">Reference!$O$3:$O$12</definedName>
    <definedName name="YNList">Reference!$P$3:$P$4</definedName>
    <definedName name="WONames">'Work Orders'!$A$3:$A$46</definedName>
    <definedName name="WOTable">'Work Orders'!$A$3:$B$46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015846"/>
      <sz val="20"/>
    </font>
    <font>
      <name val="Calibri"/>
      <color rgb="006B7A77"/>
      <sz val="10"/>
    </font>
    <font>
      <name val="Calibri"/>
      <b val="1"/>
      <color rgb="00FFFFFF"/>
      <sz val="11"/>
    </font>
    <font>
      <name val="Calibri"/>
      <b val="1"/>
      <color rgb="006B7A77"/>
      <sz val="8"/>
    </font>
    <font>
      <name val="Calibri"/>
      <b val="1"/>
      <color rgb="001F2A28"/>
      <sz val="12"/>
    </font>
    <font>
      <name val="Calibri"/>
      <color rgb="001F2A28"/>
      <sz val="11"/>
    </font>
    <font>
      <name val="Calibri"/>
      <b val="1"/>
      <color rgb="00FFFFFF"/>
      <sz val="9.5"/>
    </font>
    <font>
      <name val="Calibri"/>
      <color rgb="001F2A28"/>
      <sz val="10"/>
    </font>
    <font>
      <name val="Calibri"/>
      <b val="1"/>
      <color rgb="001F2A28"/>
      <sz val="11"/>
    </font>
    <font>
      <name val="Calibri"/>
      <b val="1"/>
      <color rgb="00FFFFFF"/>
      <sz val="10.5"/>
    </font>
    <font>
      <name val="Calibri"/>
      <b val="1"/>
      <color rgb="00FFFFFF"/>
      <sz val="8.5"/>
    </font>
    <font>
      <name val="Calibri"/>
      <b val="1"/>
      <color rgb="009AA7A4"/>
      <sz val="8"/>
    </font>
    <font>
      <name val="Calibri"/>
      <i val="1"/>
      <color rgb="009AA7A4"/>
      <sz val="9"/>
    </font>
    <font>
      <name val="Calibri"/>
      <b val="1"/>
      <color rgb="001F2A28"/>
      <sz val="9"/>
    </font>
    <font>
      <name val="Calibri"/>
      <b val="1"/>
      <color rgb="00015846"/>
      <sz val="16"/>
    </font>
    <font>
      <name val="Calibri"/>
      <b val="1"/>
      <color rgb="0000C7B1"/>
      <sz val="12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15846"/>
      </patternFill>
    </fill>
    <fill>
      <patternFill patternType="solid">
        <fgColor rgb="00FFF3CB"/>
      </patternFill>
    </fill>
    <fill>
      <patternFill patternType="solid">
        <fgColor rgb="00EDF1F0"/>
      </patternFill>
    </fill>
    <fill>
      <patternFill patternType="solid">
        <fgColor rgb="000A6E5A"/>
      </patternFill>
    </fill>
    <fill>
      <patternFill patternType="solid">
        <fgColor rgb="00E8F3F0"/>
      </patternFill>
    </fill>
    <fill>
      <patternFill patternType="solid">
        <fgColor rgb="0000C7B1"/>
      </patternFill>
    </fill>
    <fill>
      <patternFill patternType="solid">
        <fgColor rgb="00F6FAF9"/>
      </patternFill>
    </fill>
  </fills>
  <borders count="5">
    <border>
      <left/>
      <right/>
      <top/>
      <bottom/>
      <diagonal/>
    </border>
    <border>
      <left style="thin">
        <color rgb="00D5DEDC"/>
      </left>
      <right style="thin">
        <color rgb="00D5DEDC"/>
      </right>
      <top style="thin">
        <color rgb="00D5DEDC"/>
      </top>
      <bottom style="medium">
        <color rgb="00F1C232"/>
      </bottom>
    </border>
    <border>
      <left style="thin">
        <color rgb="00D5DEDC"/>
      </left>
      <right style="thin">
        <color rgb="00D5DEDC"/>
      </right>
      <top style="thin">
        <color rgb="00D5DEDC"/>
      </top>
      <bottom style="medium">
        <color rgb="00C9D3D1"/>
      </bottom>
    </border>
    <border>
      <left style="thin">
        <color rgb="00D5DEDC"/>
      </left>
      <right style="thin">
        <color rgb="00D5DEDC"/>
      </right>
      <top style="thin">
        <color rgb="00D5DEDC"/>
      </top>
      <bottom style="thin">
        <color rgb="00D5DEDC"/>
      </bottom>
    </border>
    <border>
      <left style="thin">
        <color rgb="00FFFFFF"/>
      </left>
      <right style="thin">
        <color rgb="00FFFFFF"/>
      </right>
      <bottom style="thin">
        <color rgb="00FFFFF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bottom" indent="1"/>
    </xf>
    <xf numFmtId="0" fontId="5" fillId="4" borderId="1" applyAlignment="1" applyProtection="1" pivotButton="0" quotePrefix="0" xfId="0">
      <alignment horizontal="left" vertical="center" indent="1"/>
      <protection locked="0" hidden="0"/>
    </xf>
    <xf numFmtId="164" fontId="6" fillId="4" borderId="1" applyAlignment="1" applyProtection="1" pivotButton="0" quotePrefix="0" xfId="0">
      <alignment horizontal="left" vertical="center" indent="1"/>
      <protection locked="0" hidden="0"/>
    </xf>
    <xf numFmtId="0" fontId="6" fillId="4" borderId="1" applyAlignment="1" applyProtection="1" pivotButton="0" quotePrefix="0" xfId="0">
      <alignment horizontal="left" vertical="center" indent="1"/>
      <protection locked="0" hidden="0"/>
    </xf>
    <xf numFmtId="0" fontId="6" fillId="5" borderId="2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left" vertical="center" indent="1"/>
    </xf>
    <xf numFmtId="165" fontId="8" fillId="7" borderId="3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indent="1"/>
    </xf>
    <xf numFmtId="165" fontId="9" fillId="8" borderId="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horizontal="left" vertical="center" indent="1"/>
      <protection locked="0" hidden="0"/>
    </xf>
    <xf numFmtId="0" fontId="0" fillId="3" borderId="0" pivotButton="0" quotePrefix="0" xfId="0"/>
    <xf numFmtId="165" fontId="10" fillId="3" borderId="0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/>
    </xf>
    <xf numFmtId="0" fontId="8" fillId="4" borderId="3" applyAlignment="1" applyProtection="1" pivotButton="0" quotePrefix="0" xfId="0">
      <alignment horizontal="left" vertical="center" indent="1"/>
      <protection locked="0" hidden="0"/>
    </xf>
    <xf numFmtId="0" fontId="8" fillId="4" borderId="3" applyAlignment="1" applyProtection="1" pivotButton="0" quotePrefix="0" xfId="0">
      <alignment horizontal="left" vertical="center" wrapText="1" indent="1"/>
      <protection locked="0" hidden="0"/>
    </xf>
    <xf numFmtId="0" fontId="8" fillId="4" borderId="3" applyAlignment="1" applyProtection="1" pivotButton="0" quotePrefix="0" xfId="0">
      <alignment horizontal="center" vertical="center"/>
      <protection locked="0" hidden="0"/>
    </xf>
    <xf numFmtId="165" fontId="2" fillId="5" borderId="3" applyAlignment="1" pivotButton="0" quotePrefix="0" xfId="0">
      <alignment horizontal="center" vertical="center"/>
    </xf>
    <xf numFmtId="0" fontId="13" fillId="2" borderId="3" applyAlignment="1" pivotButton="0" quotePrefix="0" xfId="0">
      <alignment horizontal="left" vertical="center" indent="1"/>
    </xf>
    <xf numFmtId="165" fontId="2" fillId="9" borderId="3" applyAlignment="1" pivotButton="0" quotePrefix="0" xfId="0">
      <alignment horizontal="center" vertical="center"/>
    </xf>
    <xf numFmtId="0" fontId="0" fillId="0" borderId="3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2001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BY48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2.5" customWidth="1" min="1" max="1"/>
    <col outlineLevel="1" width="20" customWidth="1" min="2" max="2"/>
    <col outlineLevel="1" width="22" customWidth="1" min="3" max="3"/>
    <col outlineLevel="1" width="11" customWidth="1" min="4" max="4"/>
    <col outlineLevel="1" width="6.5" customWidth="1" min="5" max="5"/>
    <col outlineLevel="1" width="6.5" customWidth="1" min="6" max="6"/>
    <col outlineLevel="1" width="6.5" customWidth="1" min="7" max="7"/>
    <col outlineLevel="1" width="6.5" customWidth="1" min="8" max="8"/>
    <col outlineLevel="1" width="6.5" customWidth="1" min="9" max="9"/>
    <col outlineLevel="1" width="6" customWidth="1" min="10" max="10"/>
    <col outlineLevel="1" width="6" customWidth="1" min="11" max="11"/>
    <col outlineLevel="1" width="7" customWidth="1" min="12" max="12"/>
    <col outlineLevel="1" width="13" customWidth="1" min="13" max="13"/>
    <col outlineLevel="1" width="7" customWidth="1" min="14" max="14"/>
    <col outlineLevel="1" width="18" customWidth="1" min="15" max="15"/>
    <col outlineLevel="1" width="6" customWidth="1" min="16" max="16"/>
    <col outlineLevel="1" width="6" customWidth="1" min="17" max="17"/>
    <col outlineLevel="1" width="18" customWidth="1" min="18" max="18"/>
    <col outlineLevel="1" width="22" customWidth="1" min="19" max="19"/>
    <col width="2.5" customWidth="1" min="20" max="20"/>
    <col outlineLevel="1" width="20" customWidth="1" min="21" max="21"/>
    <col outlineLevel="1" width="22" customWidth="1" min="22" max="22"/>
    <col outlineLevel="1" width="11" customWidth="1" min="23" max="23"/>
    <col outlineLevel="1" width="6.5" customWidth="1" min="24" max="24"/>
    <col outlineLevel="1" width="6.5" customWidth="1" min="25" max="25"/>
    <col outlineLevel="1" width="6.5" customWidth="1" min="26" max="26"/>
    <col outlineLevel="1" width="6.5" customWidth="1" min="27" max="27"/>
    <col outlineLevel="1" width="6.5" customWidth="1" min="28" max="28"/>
    <col outlineLevel="1" width="6" customWidth="1" min="29" max="29"/>
    <col outlineLevel="1" width="6" customWidth="1" min="30" max="30"/>
    <col outlineLevel="1" width="7" customWidth="1" min="31" max="31"/>
    <col outlineLevel="1" width="13" customWidth="1" min="32" max="32"/>
    <col outlineLevel="1" width="7" customWidth="1" min="33" max="33"/>
    <col outlineLevel="1" width="18" customWidth="1" min="34" max="34"/>
    <col outlineLevel="1" width="6" customWidth="1" min="35" max="35"/>
    <col outlineLevel="1" width="6" customWidth="1" min="36" max="36"/>
    <col outlineLevel="1" width="18" customWidth="1" min="37" max="37"/>
    <col outlineLevel="1" width="22" customWidth="1" min="38" max="38"/>
    <col width="2.5" customWidth="1" min="39" max="39"/>
    <col outlineLevel="1" width="20" customWidth="1" min="40" max="40"/>
    <col outlineLevel="1" width="22" customWidth="1" min="41" max="41"/>
    <col outlineLevel="1" width="11" customWidth="1" min="42" max="42"/>
    <col outlineLevel="1" width="6.5" customWidth="1" min="43" max="43"/>
    <col outlineLevel="1" width="6.5" customWidth="1" min="44" max="44"/>
    <col outlineLevel="1" width="6.5" customWidth="1" min="45" max="45"/>
    <col outlineLevel="1" width="6.5" customWidth="1" min="46" max="46"/>
    <col outlineLevel="1" width="6.5" customWidth="1" min="47" max="47"/>
    <col outlineLevel="1" width="6" customWidth="1" min="48" max="48"/>
    <col outlineLevel="1" width="6" customWidth="1" min="49" max="49"/>
    <col outlineLevel="1" width="7" customWidth="1" min="50" max="50"/>
    <col outlineLevel="1" width="13" customWidth="1" min="51" max="51"/>
    <col outlineLevel="1" width="7" customWidth="1" min="52" max="52"/>
    <col outlineLevel="1" width="18" customWidth="1" min="53" max="53"/>
    <col outlineLevel="1" width="6" customWidth="1" min="54" max="54"/>
    <col outlineLevel="1" width="6" customWidth="1" min="55" max="55"/>
    <col outlineLevel="1" width="18" customWidth="1" min="56" max="56"/>
    <col outlineLevel="1" width="22" customWidth="1" min="57" max="57"/>
    <col width="2.5" customWidth="1" min="58" max="58"/>
    <col outlineLevel="1" width="20" customWidth="1" min="59" max="59"/>
    <col outlineLevel="1" width="22" customWidth="1" min="60" max="60"/>
    <col outlineLevel="1" width="11" customWidth="1" min="61" max="61"/>
    <col outlineLevel="1" width="6.5" customWidth="1" min="62" max="62"/>
    <col outlineLevel="1" width="6.5" customWidth="1" min="63" max="63"/>
    <col outlineLevel="1" width="6.5" customWidth="1" min="64" max="64"/>
    <col outlineLevel="1" width="6.5" customWidth="1" min="65" max="65"/>
    <col outlineLevel="1" width="6.5" customWidth="1" min="66" max="66"/>
    <col outlineLevel="1" width="6" customWidth="1" min="67" max="67"/>
    <col outlineLevel="1" width="6" customWidth="1" min="68" max="68"/>
    <col outlineLevel="1" width="7" customWidth="1" min="69" max="69"/>
    <col outlineLevel="1" width="13" customWidth="1" min="70" max="70"/>
    <col outlineLevel="1" width="7" customWidth="1" min="71" max="71"/>
    <col outlineLevel="1" width="18" customWidth="1" min="72" max="72"/>
    <col outlineLevel="1" width="6" customWidth="1" min="73" max="73"/>
    <col outlineLevel="1" width="6" customWidth="1" min="74" max="74"/>
    <col outlineLevel="1" width="18" customWidth="1" min="75" max="75"/>
    <col outlineLevel="1" width="22" customWidth="1" min="76" max="76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</row>
    <row r="2" ht="26" customHeight="1">
      <c r="A2" s="1" t="n"/>
      <c r="B2" s="1" t="n"/>
      <c r="C2" s="1" t="n"/>
      <c r="D2" s="2" t="inlineStr">
        <is>
          <t>TURNAROUND TIME ENTRY</t>
        </is>
      </c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</row>
    <row r="3" ht="18" customHeight="1">
      <c r="A3" s="1" t="n"/>
      <c r="B3" s="1" t="n"/>
      <c r="C3" s="1" t="n"/>
      <c r="D3" s="3" t="inlineStr">
        <is>
          <t>CF Industries  •  Shop / Fab</t>
        </is>
      </c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</row>
    <row r="5" ht="22" customHeight="1">
      <c r="B5" s="4" t="inlineStr">
        <is>
          <t>TIMESHEET HEADER</t>
        </is>
      </c>
    </row>
    <row r="6" ht="13" customHeight="1">
      <c r="B6" s="5" t="inlineStr">
        <is>
          <t>VENDOR  (NAME - ID)</t>
        </is>
      </c>
      <c r="E6" s="5" t="inlineStr">
        <is>
          <t>DATE</t>
        </is>
      </c>
      <c r="H6" s="5" t="inlineStr">
        <is>
          <t>SHIFT</t>
        </is>
      </c>
      <c r="J6" s="5" t="inlineStr">
        <is>
          <t>CLIENT</t>
        </is>
      </c>
    </row>
    <row r="7" ht="24" customHeight="1">
      <c r="B7" s="6" t="inlineStr"/>
      <c r="E7" s="7" t="inlineStr"/>
      <c r="H7" s="8" t="inlineStr"/>
      <c r="J7" s="9" t="inlineStr">
        <is>
          <t>CF Industries</t>
        </is>
      </c>
    </row>
    <row r="9" ht="22" customHeight="1">
      <c r="B9" s="10" t="inlineStr">
        <is>
          <t>SUMMARY  —  hours by PO   (glance here before submitting)</t>
        </is>
      </c>
    </row>
    <row r="10" ht="18" customHeight="1">
      <c r="B10" s="11" t="inlineStr">
        <is>
          <t>PO / Job</t>
        </is>
      </c>
      <c r="F10" s="12" t="inlineStr">
        <is>
          <t>RT</t>
        </is>
      </c>
      <c r="G10" s="12" t="inlineStr">
        <is>
          <t>DT</t>
        </is>
      </c>
      <c r="H10" s="12" t="inlineStr">
        <is>
          <t>Total</t>
        </is>
      </c>
      <c r="I10" s="12" t="inlineStr">
        <is>
          <t>Entries</t>
        </is>
      </c>
    </row>
    <row r="11" ht="16" customHeight="1">
      <c r="B11" s="13">
        <f>IF(C17="","(unused PO table 1)",C17)</f>
        <v/>
      </c>
      <c r="F11" s="14">
        <f>J17</f>
        <v/>
      </c>
      <c r="G11" s="14">
        <f>K17</f>
        <v/>
      </c>
      <c r="H11" s="14">
        <f>L17</f>
        <v/>
      </c>
      <c r="I11" s="14">
        <f>COUNTIF(B19:B48,"?*")</f>
        <v/>
      </c>
    </row>
    <row r="12" ht="16" customHeight="1">
      <c r="B12" s="13">
        <f>IF(V17="","(unused PO table 2)",V17)</f>
        <v/>
      </c>
      <c r="F12" s="14">
        <f>AC17</f>
        <v/>
      </c>
      <c r="G12" s="14">
        <f>AD17</f>
        <v/>
      </c>
      <c r="H12" s="14">
        <f>AE17</f>
        <v/>
      </c>
      <c r="I12" s="14">
        <f>COUNTIF(U19:U48,"?*")</f>
        <v/>
      </c>
    </row>
    <row r="13" ht="16" customHeight="1">
      <c r="B13" s="13">
        <f>IF(AO17="","(unused PO table 3)",AO17)</f>
        <v/>
      </c>
      <c r="F13" s="14">
        <f>AV17</f>
        <v/>
      </c>
      <c r="G13" s="14">
        <f>AW17</f>
        <v/>
      </c>
      <c r="H13" s="14">
        <f>AX17</f>
        <v/>
      </c>
      <c r="I13" s="14">
        <f>COUNTIF(AN19:AN48,"?*")</f>
        <v/>
      </c>
    </row>
    <row r="14" ht="16" customHeight="1">
      <c r="B14" s="13">
        <f>IF(BH17="","(unused PO table 4)",BH17)</f>
        <v/>
      </c>
      <c r="F14" s="14">
        <f>BO17</f>
        <v/>
      </c>
      <c r="G14" s="14">
        <f>BP17</f>
        <v/>
      </c>
      <c r="H14" s="14">
        <f>BQ17</f>
        <v/>
      </c>
      <c r="I14" s="14">
        <f>COUNTIF(BG19:BG48,"?*")</f>
        <v/>
      </c>
    </row>
    <row r="15" ht="20" customHeight="1">
      <c r="B15" s="15" t="inlineStr">
        <is>
          <t>GRAND TOTAL</t>
        </is>
      </c>
      <c r="F15" s="16">
        <f>SUM(F11:F14)</f>
        <v/>
      </c>
      <c r="G15" s="16">
        <f>SUM(G11:G14)</f>
        <v/>
      </c>
      <c r="H15" s="16">
        <f>SUM(H11:H14)</f>
        <v/>
      </c>
      <c r="I15" s="16" t="n"/>
    </row>
    <row r="17" ht="22" customHeight="1">
      <c r="B17" s="4" t="inlineStr">
        <is>
          <t>PO ▸</t>
        </is>
      </c>
      <c r="C17" s="17" t="n"/>
      <c r="E17" s="18" t="n"/>
      <c r="F17" s="18" t="n"/>
      <c r="G17" s="18" t="n"/>
      <c r="H17" s="18" t="n"/>
      <c r="I17" s="18" t="n"/>
      <c r="J17" s="19">
        <f>SUM(J19:J48)</f>
        <v/>
      </c>
      <c r="K17" s="19">
        <f>SUM(K19:K48)</f>
        <v/>
      </c>
      <c r="L17" s="19">
        <f>SUM(L19:L48)</f>
        <v/>
      </c>
      <c r="M17" s="18" t="n"/>
      <c r="N17" s="18" t="n"/>
      <c r="O17" s="18" t="n"/>
      <c r="P17" s="18" t="n"/>
      <c r="Q17" s="18" t="n"/>
      <c r="R17" s="18" t="n"/>
      <c r="S17" s="18" t="n"/>
      <c r="U17" s="4" t="inlineStr">
        <is>
          <t>PO ▸</t>
        </is>
      </c>
      <c r="V17" s="17" t="n"/>
      <c r="X17" s="18" t="n"/>
      <c r="Y17" s="18" t="n"/>
      <c r="Z17" s="18" t="n"/>
      <c r="AA17" s="18" t="n"/>
      <c r="AB17" s="18" t="n"/>
      <c r="AC17" s="19">
        <f>SUM(AC19:AC48)</f>
        <v/>
      </c>
      <c r="AD17" s="19">
        <f>SUM(AD19:AD48)</f>
        <v/>
      </c>
      <c r="AE17" s="19">
        <f>SUM(AE19:AE48)</f>
        <v/>
      </c>
      <c r="AF17" s="18" t="n"/>
      <c r="AG17" s="18" t="n"/>
      <c r="AH17" s="18" t="n"/>
      <c r="AI17" s="18" t="n"/>
      <c r="AJ17" s="18" t="n"/>
      <c r="AK17" s="18" t="n"/>
      <c r="AL17" s="18" t="n"/>
      <c r="AN17" s="4" t="inlineStr">
        <is>
          <t>PO ▸</t>
        </is>
      </c>
      <c r="AO17" s="17" t="n"/>
      <c r="AQ17" s="18" t="n"/>
      <c r="AR17" s="18" t="n"/>
      <c r="AS17" s="18" t="n"/>
      <c r="AT17" s="18" t="n"/>
      <c r="AU17" s="18" t="n"/>
      <c r="AV17" s="19">
        <f>SUM(AV19:AV48)</f>
        <v/>
      </c>
      <c r="AW17" s="19">
        <f>SUM(AW19:AW48)</f>
        <v/>
      </c>
      <c r="AX17" s="19">
        <f>SUM(AX19:AX48)</f>
        <v/>
      </c>
      <c r="AY17" s="18" t="n"/>
      <c r="AZ17" s="18" t="n"/>
      <c r="BA17" s="18" t="n"/>
      <c r="BB17" s="18" t="n"/>
      <c r="BC17" s="18" t="n"/>
      <c r="BD17" s="18" t="n"/>
      <c r="BE17" s="18" t="n"/>
      <c r="BG17" s="4" t="inlineStr">
        <is>
          <t>PO ▸</t>
        </is>
      </c>
      <c r="BH17" s="17" t="n"/>
      <c r="BJ17" s="18" t="n"/>
      <c r="BK17" s="18" t="n"/>
      <c r="BL17" s="18" t="n"/>
      <c r="BM17" s="18" t="n"/>
      <c r="BN17" s="18" t="n"/>
      <c r="BO17" s="19">
        <f>SUM(BO19:BO48)</f>
        <v/>
      </c>
      <c r="BP17" s="19">
        <f>SUM(BP19:BP48)</f>
        <v/>
      </c>
      <c r="BQ17" s="19">
        <f>SUM(BQ19:BQ48)</f>
        <v/>
      </c>
      <c r="BR17" s="18" t="n"/>
      <c r="BS17" s="18" t="n"/>
      <c r="BT17" s="18" t="n"/>
      <c r="BU17" s="18" t="n"/>
      <c r="BV17" s="18" t="n"/>
      <c r="BW17" s="18" t="n"/>
      <c r="BX17" s="18" t="n"/>
    </row>
    <row r="18" ht="26" customHeight="1">
      <c r="B18" s="20" t="inlineStr">
        <is>
          <t>Employee Name</t>
        </is>
      </c>
      <c r="C18" s="20" t="inlineStr">
        <is>
          <t>Trade / Position</t>
        </is>
      </c>
      <c r="D18" s="20" t="inlineStr">
        <is>
          <t>WO ID</t>
        </is>
      </c>
      <c r="E18" s="20" t="inlineStr">
        <is>
          <t>OP1</t>
        </is>
      </c>
      <c r="F18" s="20" t="inlineStr">
        <is>
          <t>OP2</t>
        </is>
      </c>
      <c r="G18" s="20" t="inlineStr">
        <is>
          <t>OP3</t>
        </is>
      </c>
      <c r="H18" s="20" t="inlineStr">
        <is>
          <t>OP4</t>
        </is>
      </c>
      <c r="I18" s="20" t="inlineStr">
        <is>
          <t>OP5</t>
        </is>
      </c>
      <c r="J18" s="20" t="inlineStr">
        <is>
          <t>RT</t>
        </is>
      </c>
      <c r="K18" s="20" t="inlineStr">
        <is>
          <t>DT</t>
        </is>
      </c>
      <c r="L18" s="20" t="inlineStr">
        <is>
          <t>Total</t>
        </is>
      </c>
      <c r="M18" s="20" t="inlineStr">
        <is>
          <t>Work Location</t>
        </is>
      </c>
      <c r="N18" s="20" t="inlineStr">
        <is>
          <t>Offsite
Hrs</t>
        </is>
      </c>
      <c r="O18" s="20" t="inlineStr">
        <is>
          <t>Offsite Category</t>
        </is>
      </c>
      <c r="P18" s="20" t="inlineStr">
        <is>
          <t>OT
Meal?</t>
        </is>
      </c>
      <c r="Q18" s="20" t="inlineStr">
        <is>
          <t>LOA?</t>
        </is>
      </c>
      <c r="R18" s="20" t="inlineStr">
        <is>
          <t>Notes</t>
        </is>
      </c>
      <c r="S18" s="21" t="inlineStr">
        <is>
          <t>WO Name (reference only)</t>
        </is>
      </c>
      <c r="U18" s="20" t="inlineStr">
        <is>
          <t>Employee Name</t>
        </is>
      </c>
      <c r="V18" s="20" t="inlineStr">
        <is>
          <t>Trade / Position</t>
        </is>
      </c>
      <c r="W18" s="20" t="inlineStr">
        <is>
          <t>WO ID</t>
        </is>
      </c>
      <c r="X18" s="20" t="inlineStr">
        <is>
          <t>OP1</t>
        </is>
      </c>
      <c r="Y18" s="20" t="inlineStr">
        <is>
          <t>OP2</t>
        </is>
      </c>
      <c r="Z18" s="20" t="inlineStr">
        <is>
          <t>OP3</t>
        </is>
      </c>
      <c r="AA18" s="20" t="inlineStr">
        <is>
          <t>OP4</t>
        </is>
      </c>
      <c r="AB18" s="20" t="inlineStr">
        <is>
          <t>OP5</t>
        </is>
      </c>
      <c r="AC18" s="20" t="inlineStr">
        <is>
          <t>RT</t>
        </is>
      </c>
      <c r="AD18" s="20" t="inlineStr">
        <is>
          <t>DT</t>
        </is>
      </c>
      <c r="AE18" s="20" t="inlineStr">
        <is>
          <t>Total</t>
        </is>
      </c>
      <c r="AF18" s="20" t="inlineStr">
        <is>
          <t>Work Location</t>
        </is>
      </c>
      <c r="AG18" s="20" t="inlineStr">
        <is>
          <t>Offsite
Hrs</t>
        </is>
      </c>
      <c r="AH18" s="20" t="inlineStr">
        <is>
          <t>Offsite Category</t>
        </is>
      </c>
      <c r="AI18" s="20" t="inlineStr">
        <is>
          <t>OT
Meal?</t>
        </is>
      </c>
      <c r="AJ18" s="20" t="inlineStr">
        <is>
          <t>LOA?</t>
        </is>
      </c>
      <c r="AK18" s="20" t="inlineStr">
        <is>
          <t>Notes</t>
        </is>
      </c>
      <c r="AL18" s="21" t="inlineStr">
        <is>
          <t>WO Name (reference only)</t>
        </is>
      </c>
      <c r="AN18" s="20" t="inlineStr">
        <is>
          <t>Employee Name</t>
        </is>
      </c>
      <c r="AO18" s="20" t="inlineStr">
        <is>
          <t>Trade / Position</t>
        </is>
      </c>
      <c r="AP18" s="20" t="inlineStr">
        <is>
          <t>WO ID</t>
        </is>
      </c>
      <c r="AQ18" s="20" t="inlineStr">
        <is>
          <t>OP1</t>
        </is>
      </c>
      <c r="AR18" s="20" t="inlineStr">
        <is>
          <t>OP2</t>
        </is>
      </c>
      <c r="AS18" s="20" t="inlineStr">
        <is>
          <t>OP3</t>
        </is>
      </c>
      <c r="AT18" s="20" t="inlineStr">
        <is>
          <t>OP4</t>
        </is>
      </c>
      <c r="AU18" s="20" t="inlineStr">
        <is>
          <t>OP5</t>
        </is>
      </c>
      <c r="AV18" s="20" t="inlineStr">
        <is>
          <t>RT</t>
        </is>
      </c>
      <c r="AW18" s="20" t="inlineStr">
        <is>
          <t>DT</t>
        </is>
      </c>
      <c r="AX18" s="20" t="inlineStr">
        <is>
          <t>Total</t>
        </is>
      </c>
      <c r="AY18" s="20" t="inlineStr">
        <is>
          <t>Work Location</t>
        </is>
      </c>
      <c r="AZ18" s="20" t="inlineStr">
        <is>
          <t>Offsite
Hrs</t>
        </is>
      </c>
      <c r="BA18" s="20" t="inlineStr">
        <is>
          <t>Offsite Category</t>
        </is>
      </c>
      <c r="BB18" s="20" t="inlineStr">
        <is>
          <t>OT
Meal?</t>
        </is>
      </c>
      <c r="BC18" s="20" t="inlineStr">
        <is>
          <t>LOA?</t>
        </is>
      </c>
      <c r="BD18" s="20" t="inlineStr">
        <is>
          <t>Notes</t>
        </is>
      </c>
      <c r="BE18" s="21" t="inlineStr">
        <is>
          <t>WO Name (reference only)</t>
        </is>
      </c>
      <c r="BG18" s="20" t="inlineStr">
        <is>
          <t>Employee Name</t>
        </is>
      </c>
      <c r="BH18" s="20" t="inlineStr">
        <is>
          <t>Trade / Position</t>
        </is>
      </c>
      <c r="BI18" s="20" t="inlineStr">
        <is>
          <t>WO ID</t>
        </is>
      </c>
      <c r="BJ18" s="20" t="inlineStr">
        <is>
          <t>OP1</t>
        </is>
      </c>
      <c r="BK18" s="20" t="inlineStr">
        <is>
          <t>OP2</t>
        </is>
      </c>
      <c r="BL18" s="20" t="inlineStr">
        <is>
          <t>OP3</t>
        </is>
      </c>
      <c r="BM18" s="20" t="inlineStr">
        <is>
          <t>OP4</t>
        </is>
      </c>
      <c r="BN18" s="20" t="inlineStr">
        <is>
          <t>OP5</t>
        </is>
      </c>
      <c r="BO18" s="20" t="inlineStr">
        <is>
          <t>RT</t>
        </is>
      </c>
      <c r="BP18" s="20" t="inlineStr">
        <is>
          <t>DT</t>
        </is>
      </c>
      <c r="BQ18" s="20" t="inlineStr">
        <is>
          <t>Total</t>
        </is>
      </c>
      <c r="BR18" s="20" t="inlineStr">
        <is>
          <t>Work Location</t>
        </is>
      </c>
      <c r="BS18" s="20" t="inlineStr">
        <is>
          <t>Offsite
Hrs</t>
        </is>
      </c>
      <c r="BT18" s="20" t="inlineStr">
        <is>
          <t>Offsite Category</t>
        </is>
      </c>
      <c r="BU18" s="20" t="inlineStr">
        <is>
          <t>OT
Meal?</t>
        </is>
      </c>
      <c r="BV18" s="20" t="inlineStr">
        <is>
          <t>LOA?</t>
        </is>
      </c>
      <c r="BW18" s="20" t="inlineStr">
        <is>
          <t>Notes</t>
        </is>
      </c>
      <c r="BX18" s="21" t="inlineStr">
        <is>
          <t>WO Name (reference only)</t>
        </is>
      </c>
    </row>
    <row r="19" ht="28" customHeight="1">
      <c r="B19" s="22" t="n"/>
      <c r="C19" s="23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5">
        <f>IF(AND(J19="",K19=""),"",N(J19)+N(K19))</f>
        <v/>
      </c>
      <c r="M19" s="22" t="n"/>
      <c r="N19" s="24" t="n"/>
      <c r="O19" s="23" t="n"/>
      <c r="P19" s="24" t="n"/>
      <c r="Q19" s="24" t="n"/>
      <c r="R19" s="23" t="n"/>
      <c r="S19" s="26">
        <f>IFERROR(IF(D19="","",VLOOKUP(D19,WOTable,2,FALSE)),"")</f>
        <v/>
      </c>
      <c r="U19" s="22" t="n"/>
      <c r="V19" s="23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5">
        <f>IF(AND(AC19="",AD19=""),"",N(AC19)+N(AD19))</f>
        <v/>
      </c>
      <c r="AF19" s="22" t="n"/>
      <c r="AG19" s="24" t="n"/>
      <c r="AH19" s="23" t="n"/>
      <c r="AI19" s="24" t="n"/>
      <c r="AJ19" s="24" t="n"/>
      <c r="AK19" s="23" t="n"/>
      <c r="AL19" s="26">
        <f>IFERROR(IF(W19="","",VLOOKUP(W19,WOTable,2,FALSE)),"")</f>
        <v/>
      </c>
      <c r="AN19" s="22" t="n"/>
      <c r="AO19" s="23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5">
        <f>IF(AND(AV19="",AW19=""),"",N(AV19)+N(AW19))</f>
        <v/>
      </c>
      <c r="AY19" s="22" t="n"/>
      <c r="AZ19" s="24" t="n"/>
      <c r="BA19" s="23" t="n"/>
      <c r="BB19" s="24" t="n"/>
      <c r="BC19" s="24" t="n"/>
      <c r="BD19" s="23" t="n"/>
      <c r="BE19" s="26">
        <f>IFERROR(IF(AP19="","",VLOOKUP(AP19,WOTable,2,FALSE)),"")</f>
        <v/>
      </c>
      <c r="BG19" s="22" t="n"/>
      <c r="BH19" s="23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5">
        <f>IF(AND(BO19="",BP19=""),"",N(BO19)+N(BP19))</f>
        <v/>
      </c>
      <c r="BR19" s="22" t="n"/>
      <c r="BS19" s="24" t="n"/>
      <c r="BT19" s="23" t="n"/>
      <c r="BU19" s="24" t="n"/>
      <c r="BV19" s="24" t="n"/>
      <c r="BW19" s="23" t="n"/>
      <c r="BX19" s="26">
        <f>IFERROR(IF(BI19="","",VLOOKUP(BI19,WOTable,2,FALSE)),"")</f>
        <v/>
      </c>
    </row>
    <row r="20" ht="28" customHeight="1">
      <c r="B20" s="22" t="n"/>
      <c r="C20" s="23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7">
        <f>IF(AND(J20="",K20=""),"",N(J20)+N(K20))</f>
        <v/>
      </c>
      <c r="M20" s="22" t="n"/>
      <c r="N20" s="24" t="n"/>
      <c r="O20" s="23" t="n"/>
      <c r="P20" s="24" t="n"/>
      <c r="Q20" s="24" t="n"/>
      <c r="R20" s="23" t="n"/>
      <c r="S20" s="26">
        <f>IFERROR(IF(D20="","",VLOOKUP(D20,WOTable,2,FALSE)),"")</f>
        <v/>
      </c>
      <c r="U20" s="22" t="n"/>
      <c r="V20" s="23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7">
        <f>IF(AND(AC20="",AD20=""),"",N(AC20)+N(AD20))</f>
        <v/>
      </c>
      <c r="AF20" s="22" t="n"/>
      <c r="AG20" s="24" t="n"/>
      <c r="AH20" s="23" t="n"/>
      <c r="AI20" s="24" t="n"/>
      <c r="AJ20" s="24" t="n"/>
      <c r="AK20" s="23" t="n"/>
      <c r="AL20" s="26">
        <f>IFERROR(IF(W20="","",VLOOKUP(W20,WOTable,2,FALSE)),"")</f>
        <v/>
      </c>
      <c r="AN20" s="22" t="n"/>
      <c r="AO20" s="23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7">
        <f>IF(AND(AV20="",AW20=""),"",N(AV20)+N(AW20))</f>
        <v/>
      </c>
      <c r="AY20" s="22" t="n"/>
      <c r="AZ20" s="24" t="n"/>
      <c r="BA20" s="23" t="n"/>
      <c r="BB20" s="24" t="n"/>
      <c r="BC20" s="24" t="n"/>
      <c r="BD20" s="23" t="n"/>
      <c r="BE20" s="26">
        <f>IFERROR(IF(AP20="","",VLOOKUP(AP20,WOTable,2,FALSE)),"")</f>
        <v/>
      </c>
      <c r="BG20" s="22" t="n"/>
      <c r="BH20" s="23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7">
        <f>IF(AND(BO20="",BP20=""),"",N(BO20)+N(BP20))</f>
        <v/>
      </c>
      <c r="BR20" s="22" t="n"/>
      <c r="BS20" s="24" t="n"/>
      <c r="BT20" s="23" t="n"/>
      <c r="BU20" s="24" t="n"/>
      <c r="BV20" s="24" t="n"/>
      <c r="BW20" s="23" t="n"/>
      <c r="BX20" s="26">
        <f>IFERROR(IF(BI20="","",VLOOKUP(BI20,WOTable,2,FALSE)),"")</f>
        <v/>
      </c>
    </row>
    <row r="21" ht="28" customHeight="1">
      <c r="B21" s="22" t="n"/>
      <c r="C21" s="23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>
        <f>IF(AND(J21="",K21=""),"",N(J21)+N(K21))</f>
        <v/>
      </c>
      <c r="M21" s="22" t="n"/>
      <c r="N21" s="24" t="n"/>
      <c r="O21" s="23" t="n"/>
      <c r="P21" s="24" t="n"/>
      <c r="Q21" s="24" t="n"/>
      <c r="R21" s="23" t="n"/>
      <c r="S21" s="26">
        <f>IFERROR(IF(D21="","",VLOOKUP(D21,WOTable,2,FALSE)),"")</f>
        <v/>
      </c>
      <c r="U21" s="22" t="n"/>
      <c r="V21" s="23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5">
        <f>IF(AND(AC21="",AD21=""),"",N(AC21)+N(AD21))</f>
        <v/>
      </c>
      <c r="AF21" s="22" t="n"/>
      <c r="AG21" s="24" t="n"/>
      <c r="AH21" s="23" t="n"/>
      <c r="AI21" s="24" t="n"/>
      <c r="AJ21" s="24" t="n"/>
      <c r="AK21" s="23" t="n"/>
      <c r="AL21" s="26">
        <f>IFERROR(IF(W21="","",VLOOKUP(W21,WOTable,2,FALSE)),"")</f>
        <v/>
      </c>
      <c r="AN21" s="22" t="n"/>
      <c r="AO21" s="23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5">
        <f>IF(AND(AV21="",AW21=""),"",N(AV21)+N(AW21))</f>
        <v/>
      </c>
      <c r="AY21" s="22" t="n"/>
      <c r="AZ21" s="24" t="n"/>
      <c r="BA21" s="23" t="n"/>
      <c r="BB21" s="24" t="n"/>
      <c r="BC21" s="24" t="n"/>
      <c r="BD21" s="23" t="n"/>
      <c r="BE21" s="26">
        <f>IFERROR(IF(AP21="","",VLOOKUP(AP21,WOTable,2,FALSE)),"")</f>
        <v/>
      </c>
      <c r="BG21" s="22" t="n"/>
      <c r="BH21" s="23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5">
        <f>IF(AND(BO21="",BP21=""),"",N(BO21)+N(BP21))</f>
        <v/>
      </c>
      <c r="BR21" s="22" t="n"/>
      <c r="BS21" s="24" t="n"/>
      <c r="BT21" s="23" t="n"/>
      <c r="BU21" s="24" t="n"/>
      <c r="BV21" s="24" t="n"/>
      <c r="BW21" s="23" t="n"/>
      <c r="BX21" s="26">
        <f>IFERROR(IF(BI21="","",VLOOKUP(BI21,WOTable,2,FALSE)),"")</f>
        <v/>
      </c>
    </row>
    <row r="22" ht="28" customHeight="1">
      <c r="B22" s="22" t="n"/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7">
        <f>IF(AND(J22="",K22=""),"",N(J22)+N(K22))</f>
        <v/>
      </c>
      <c r="M22" s="22" t="n"/>
      <c r="N22" s="24" t="n"/>
      <c r="O22" s="23" t="n"/>
      <c r="P22" s="24" t="n"/>
      <c r="Q22" s="24" t="n"/>
      <c r="R22" s="23" t="n"/>
      <c r="S22" s="26">
        <f>IFERROR(IF(D22="","",VLOOKUP(D22,WOTable,2,FALSE)),"")</f>
        <v/>
      </c>
      <c r="U22" s="22" t="n"/>
      <c r="V22" s="23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7">
        <f>IF(AND(AC22="",AD22=""),"",N(AC22)+N(AD22))</f>
        <v/>
      </c>
      <c r="AF22" s="22" t="n"/>
      <c r="AG22" s="24" t="n"/>
      <c r="AH22" s="23" t="n"/>
      <c r="AI22" s="24" t="n"/>
      <c r="AJ22" s="24" t="n"/>
      <c r="AK22" s="23" t="n"/>
      <c r="AL22" s="26">
        <f>IFERROR(IF(W22="","",VLOOKUP(W22,WOTable,2,FALSE)),"")</f>
        <v/>
      </c>
      <c r="AN22" s="22" t="n"/>
      <c r="AO22" s="23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7">
        <f>IF(AND(AV22="",AW22=""),"",N(AV22)+N(AW22))</f>
        <v/>
      </c>
      <c r="AY22" s="22" t="n"/>
      <c r="AZ22" s="24" t="n"/>
      <c r="BA22" s="23" t="n"/>
      <c r="BB22" s="24" t="n"/>
      <c r="BC22" s="24" t="n"/>
      <c r="BD22" s="23" t="n"/>
      <c r="BE22" s="26">
        <f>IFERROR(IF(AP22="","",VLOOKUP(AP22,WOTable,2,FALSE)),"")</f>
        <v/>
      </c>
      <c r="BG22" s="22" t="n"/>
      <c r="BH22" s="23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7">
        <f>IF(AND(BO22="",BP22=""),"",N(BO22)+N(BP22))</f>
        <v/>
      </c>
      <c r="BR22" s="22" t="n"/>
      <c r="BS22" s="24" t="n"/>
      <c r="BT22" s="23" t="n"/>
      <c r="BU22" s="24" t="n"/>
      <c r="BV22" s="24" t="n"/>
      <c r="BW22" s="23" t="n"/>
      <c r="BX22" s="26">
        <f>IFERROR(IF(BI22="","",VLOOKUP(BI22,WOTable,2,FALSE)),"")</f>
        <v/>
      </c>
    </row>
    <row r="23" ht="28" customHeight="1">
      <c r="B23" s="22" t="n"/>
      <c r="C23" s="23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5">
        <f>IF(AND(J23="",K23=""),"",N(J23)+N(K23))</f>
        <v/>
      </c>
      <c r="M23" s="22" t="n"/>
      <c r="N23" s="24" t="n"/>
      <c r="O23" s="23" t="n"/>
      <c r="P23" s="24" t="n"/>
      <c r="Q23" s="24" t="n"/>
      <c r="R23" s="23" t="n"/>
      <c r="S23" s="26">
        <f>IFERROR(IF(D23="","",VLOOKUP(D23,WOTable,2,FALSE)),"")</f>
        <v/>
      </c>
      <c r="U23" s="22" t="n"/>
      <c r="V23" s="23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5">
        <f>IF(AND(AC23="",AD23=""),"",N(AC23)+N(AD23))</f>
        <v/>
      </c>
      <c r="AF23" s="22" t="n"/>
      <c r="AG23" s="24" t="n"/>
      <c r="AH23" s="23" t="n"/>
      <c r="AI23" s="24" t="n"/>
      <c r="AJ23" s="24" t="n"/>
      <c r="AK23" s="23" t="n"/>
      <c r="AL23" s="26">
        <f>IFERROR(IF(W23="","",VLOOKUP(W23,WOTable,2,FALSE)),"")</f>
        <v/>
      </c>
      <c r="AN23" s="22" t="n"/>
      <c r="AO23" s="23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5">
        <f>IF(AND(AV23="",AW23=""),"",N(AV23)+N(AW23))</f>
        <v/>
      </c>
      <c r="AY23" s="22" t="n"/>
      <c r="AZ23" s="24" t="n"/>
      <c r="BA23" s="23" t="n"/>
      <c r="BB23" s="24" t="n"/>
      <c r="BC23" s="24" t="n"/>
      <c r="BD23" s="23" t="n"/>
      <c r="BE23" s="26">
        <f>IFERROR(IF(AP23="","",VLOOKUP(AP23,WOTable,2,FALSE)),"")</f>
        <v/>
      </c>
      <c r="BG23" s="22" t="n"/>
      <c r="BH23" s="23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5">
        <f>IF(AND(BO23="",BP23=""),"",N(BO23)+N(BP23))</f>
        <v/>
      </c>
      <c r="BR23" s="22" t="n"/>
      <c r="BS23" s="24" t="n"/>
      <c r="BT23" s="23" t="n"/>
      <c r="BU23" s="24" t="n"/>
      <c r="BV23" s="24" t="n"/>
      <c r="BW23" s="23" t="n"/>
      <c r="BX23" s="26">
        <f>IFERROR(IF(BI23="","",VLOOKUP(BI23,WOTable,2,FALSE)),"")</f>
        <v/>
      </c>
    </row>
    <row r="24" ht="28" customHeight="1">
      <c r="B24" s="22" t="n"/>
      <c r="C24" s="23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7">
        <f>IF(AND(J24="",K24=""),"",N(J24)+N(K24))</f>
        <v/>
      </c>
      <c r="M24" s="22" t="n"/>
      <c r="N24" s="24" t="n"/>
      <c r="O24" s="23" t="n"/>
      <c r="P24" s="24" t="n"/>
      <c r="Q24" s="24" t="n"/>
      <c r="R24" s="23" t="n"/>
      <c r="S24" s="26">
        <f>IFERROR(IF(D24="","",VLOOKUP(D24,WOTable,2,FALSE)),"")</f>
        <v/>
      </c>
      <c r="U24" s="22" t="n"/>
      <c r="V24" s="23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7">
        <f>IF(AND(AC24="",AD24=""),"",N(AC24)+N(AD24))</f>
        <v/>
      </c>
      <c r="AF24" s="22" t="n"/>
      <c r="AG24" s="24" t="n"/>
      <c r="AH24" s="23" t="n"/>
      <c r="AI24" s="24" t="n"/>
      <c r="AJ24" s="24" t="n"/>
      <c r="AK24" s="23" t="n"/>
      <c r="AL24" s="26">
        <f>IFERROR(IF(W24="","",VLOOKUP(W24,WOTable,2,FALSE)),"")</f>
        <v/>
      </c>
      <c r="AN24" s="22" t="n"/>
      <c r="AO24" s="23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7">
        <f>IF(AND(AV24="",AW24=""),"",N(AV24)+N(AW24))</f>
        <v/>
      </c>
      <c r="AY24" s="22" t="n"/>
      <c r="AZ24" s="24" t="n"/>
      <c r="BA24" s="23" t="n"/>
      <c r="BB24" s="24" t="n"/>
      <c r="BC24" s="24" t="n"/>
      <c r="BD24" s="23" t="n"/>
      <c r="BE24" s="26">
        <f>IFERROR(IF(AP24="","",VLOOKUP(AP24,WOTable,2,FALSE)),"")</f>
        <v/>
      </c>
      <c r="BG24" s="22" t="n"/>
      <c r="BH24" s="23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7">
        <f>IF(AND(BO24="",BP24=""),"",N(BO24)+N(BP24))</f>
        <v/>
      </c>
      <c r="BR24" s="22" t="n"/>
      <c r="BS24" s="24" t="n"/>
      <c r="BT24" s="23" t="n"/>
      <c r="BU24" s="24" t="n"/>
      <c r="BV24" s="24" t="n"/>
      <c r="BW24" s="23" t="n"/>
      <c r="BX24" s="26">
        <f>IFERROR(IF(BI24="","",VLOOKUP(BI24,WOTable,2,FALSE)),"")</f>
        <v/>
      </c>
    </row>
    <row r="25" ht="28" customHeight="1">
      <c r="B25" s="22" t="n"/>
      <c r="C25" s="23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5">
        <f>IF(AND(J25="",K25=""),"",N(J25)+N(K25))</f>
        <v/>
      </c>
      <c r="M25" s="22" t="n"/>
      <c r="N25" s="24" t="n"/>
      <c r="O25" s="23" t="n"/>
      <c r="P25" s="24" t="n"/>
      <c r="Q25" s="24" t="n"/>
      <c r="R25" s="23" t="n"/>
      <c r="S25" s="26">
        <f>IFERROR(IF(D25="","",VLOOKUP(D25,WOTable,2,FALSE)),"")</f>
        <v/>
      </c>
      <c r="U25" s="22" t="n"/>
      <c r="V25" s="23" t="n"/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5">
        <f>IF(AND(AC25="",AD25=""),"",N(AC25)+N(AD25))</f>
        <v/>
      </c>
      <c r="AF25" s="22" t="n"/>
      <c r="AG25" s="24" t="n"/>
      <c r="AH25" s="23" t="n"/>
      <c r="AI25" s="24" t="n"/>
      <c r="AJ25" s="24" t="n"/>
      <c r="AK25" s="23" t="n"/>
      <c r="AL25" s="26">
        <f>IFERROR(IF(W25="","",VLOOKUP(W25,WOTable,2,FALSE)),"")</f>
        <v/>
      </c>
      <c r="AN25" s="22" t="n"/>
      <c r="AO25" s="23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5">
        <f>IF(AND(AV25="",AW25=""),"",N(AV25)+N(AW25))</f>
        <v/>
      </c>
      <c r="AY25" s="22" t="n"/>
      <c r="AZ25" s="24" t="n"/>
      <c r="BA25" s="23" t="n"/>
      <c r="BB25" s="24" t="n"/>
      <c r="BC25" s="24" t="n"/>
      <c r="BD25" s="23" t="n"/>
      <c r="BE25" s="26">
        <f>IFERROR(IF(AP25="","",VLOOKUP(AP25,WOTable,2,FALSE)),"")</f>
        <v/>
      </c>
      <c r="BG25" s="22" t="n"/>
      <c r="BH25" s="23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5">
        <f>IF(AND(BO25="",BP25=""),"",N(BO25)+N(BP25))</f>
        <v/>
      </c>
      <c r="BR25" s="22" t="n"/>
      <c r="BS25" s="24" t="n"/>
      <c r="BT25" s="23" t="n"/>
      <c r="BU25" s="24" t="n"/>
      <c r="BV25" s="24" t="n"/>
      <c r="BW25" s="23" t="n"/>
      <c r="BX25" s="26">
        <f>IFERROR(IF(BI25="","",VLOOKUP(BI25,WOTable,2,FALSE)),"")</f>
        <v/>
      </c>
    </row>
    <row r="26" ht="28" customHeight="1">
      <c r="B26" s="22" t="n"/>
      <c r="C26" s="23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7">
        <f>IF(AND(J26="",K26=""),"",N(J26)+N(K26))</f>
        <v/>
      </c>
      <c r="M26" s="22" t="n"/>
      <c r="N26" s="24" t="n"/>
      <c r="O26" s="23" t="n"/>
      <c r="P26" s="24" t="n"/>
      <c r="Q26" s="24" t="n"/>
      <c r="R26" s="23" t="n"/>
      <c r="S26" s="26">
        <f>IFERROR(IF(D26="","",VLOOKUP(D26,WOTable,2,FALSE)),"")</f>
        <v/>
      </c>
      <c r="U26" s="22" t="n"/>
      <c r="V26" s="23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7">
        <f>IF(AND(AC26="",AD26=""),"",N(AC26)+N(AD26))</f>
        <v/>
      </c>
      <c r="AF26" s="22" t="n"/>
      <c r="AG26" s="24" t="n"/>
      <c r="AH26" s="23" t="n"/>
      <c r="AI26" s="24" t="n"/>
      <c r="AJ26" s="24" t="n"/>
      <c r="AK26" s="23" t="n"/>
      <c r="AL26" s="26">
        <f>IFERROR(IF(W26="","",VLOOKUP(W26,WOTable,2,FALSE)),"")</f>
        <v/>
      </c>
      <c r="AN26" s="22" t="n"/>
      <c r="AO26" s="23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7">
        <f>IF(AND(AV26="",AW26=""),"",N(AV26)+N(AW26))</f>
        <v/>
      </c>
      <c r="AY26" s="22" t="n"/>
      <c r="AZ26" s="24" t="n"/>
      <c r="BA26" s="23" t="n"/>
      <c r="BB26" s="24" t="n"/>
      <c r="BC26" s="24" t="n"/>
      <c r="BD26" s="23" t="n"/>
      <c r="BE26" s="26">
        <f>IFERROR(IF(AP26="","",VLOOKUP(AP26,WOTable,2,FALSE)),"")</f>
        <v/>
      </c>
      <c r="BG26" s="22" t="n"/>
      <c r="BH26" s="23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7">
        <f>IF(AND(BO26="",BP26=""),"",N(BO26)+N(BP26))</f>
        <v/>
      </c>
      <c r="BR26" s="22" t="n"/>
      <c r="BS26" s="24" t="n"/>
      <c r="BT26" s="23" t="n"/>
      <c r="BU26" s="24" t="n"/>
      <c r="BV26" s="24" t="n"/>
      <c r="BW26" s="23" t="n"/>
      <c r="BX26" s="26">
        <f>IFERROR(IF(BI26="","",VLOOKUP(BI26,WOTable,2,FALSE)),"")</f>
        <v/>
      </c>
    </row>
    <row r="27" ht="28" customHeight="1">
      <c r="B27" s="22" t="n"/>
      <c r="C27" s="23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>
        <f>IF(AND(J27="",K27=""),"",N(J27)+N(K27))</f>
        <v/>
      </c>
      <c r="M27" s="22" t="n"/>
      <c r="N27" s="24" t="n"/>
      <c r="O27" s="23" t="n"/>
      <c r="P27" s="24" t="n"/>
      <c r="Q27" s="24" t="n"/>
      <c r="R27" s="23" t="n"/>
      <c r="S27" s="26">
        <f>IFERROR(IF(D27="","",VLOOKUP(D27,WOTable,2,FALSE)),"")</f>
        <v/>
      </c>
      <c r="U27" s="22" t="n"/>
      <c r="V27" s="23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5">
        <f>IF(AND(AC27="",AD27=""),"",N(AC27)+N(AD27))</f>
        <v/>
      </c>
      <c r="AF27" s="22" t="n"/>
      <c r="AG27" s="24" t="n"/>
      <c r="AH27" s="23" t="n"/>
      <c r="AI27" s="24" t="n"/>
      <c r="AJ27" s="24" t="n"/>
      <c r="AK27" s="23" t="n"/>
      <c r="AL27" s="26">
        <f>IFERROR(IF(W27="","",VLOOKUP(W27,WOTable,2,FALSE)),"")</f>
        <v/>
      </c>
      <c r="AN27" s="22" t="n"/>
      <c r="AO27" s="23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5">
        <f>IF(AND(AV27="",AW27=""),"",N(AV27)+N(AW27))</f>
        <v/>
      </c>
      <c r="AY27" s="22" t="n"/>
      <c r="AZ27" s="24" t="n"/>
      <c r="BA27" s="23" t="n"/>
      <c r="BB27" s="24" t="n"/>
      <c r="BC27" s="24" t="n"/>
      <c r="BD27" s="23" t="n"/>
      <c r="BE27" s="26">
        <f>IFERROR(IF(AP27="","",VLOOKUP(AP27,WOTable,2,FALSE)),"")</f>
        <v/>
      </c>
      <c r="BG27" s="22" t="n"/>
      <c r="BH27" s="23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5">
        <f>IF(AND(BO27="",BP27=""),"",N(BO27)+N(BP27))</f>
        <v/>
      </c>
      <c r="BR27" s="22" t="n"/>
      <c r="BS27" s="24" t="n"/>
      <c r="BT27" s="23" t="n"/>
      <c r="BU27" s="24" t="n"/>
      <c r="BV27" s="24" t="n"/>
      <c r="BW27" s="23" t="n"/>
      <c r="BX27" s="26">
        <f>IFERROR(IF(BI27="","",VLOOKUP(BI27,WOTable,2,FALSE)),"")</f>
        <v/>
      </c>
    </row>
    <row r="28" ht="28" customHeight="1">
      <c r="B28" s="22" t="n"/>
      <c r="C28" s="23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7">
        <f>IF(AND(J28="",K28=""),"",N(J28)+N(K28))</f>
        <v/>
      </c>
      <c r="M28" s="22" t="n"/>
      <c r="N28" s="24" t="n"/>
      <c r="O28" s="23" t="n"/>
      <c r="P28" s="24" t="n"/>
      <c r="Q28" s="24" t="n"/>
      <c r="R28" s="23" t="n"/>
      <c r="S28" s="26">
        <f>IFERROR(IF(D28="","",VLOOKUP(D28,WOTable,2,FALSE)),"")</f>
        <v/>
      </c>
      <c r="U28" s="22" t="n"/>
      <c r="V28" s="23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7">
        <f>IF(AND(AC28="",AD28=""),"",N(AC28)+N(AD28))</f>
        <v/>
      </c>
      <c r="AF28" s="22" t="n"/>
      <c r="AG28" s="24" t="n"/>
      <c r="AH28" s="23" t="n"/>
      <c r="AI28" s="24" t="n"/>
      <c r="AJ28" s="24" t="n"/>
      <c r="AK28" s="23" t="n"/>
      <c r="AL28" s="26">
        <f>IFERROR(IF(W28="","",VLOOKUP(W28,WOTable,2,FALSE)),"")</f>
        <v/>
      </c>
      <c r="AN28" s="22" t="n"/>
      <c r="AO28" s="23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7">
        <f>IF(AND(AV28="",AW28=""),"",N(AV28)+N(AW28))</f>
        <v/>
      </c>
      <c r="AY28" s="22" t="n"/>
      <c r="AZ28" s="24" t="n"/>
      <c r="BA28" s="23" t="n"/>
      <c r="BB28" s="24" t="n"/>
      <c r="BC28" s="24" t="n"/>
      <c r="BD28" s="23" t="n"/>
      <c r="BE28" s="26">
        <f>IFERROR(IF(AP28="","",VLOOKUP(AP28,WOTable,2,FALSE)),"")</f>
        <v/>
      </c>
      <c r="BG28" s="22" t="n"/>
      <c r="BH28" s="23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7">
        <f>IF(AND(BO28="",BP28=""),"",N(BO28)+N(BP28))</f>
        <v/>
      </c>
      <c r="BR28" s="22" t="n"/>
      <c r="BS28" s="24" t="n"/>
      <c r="BT28" s="23" t="n"/>
      <c r="BU28" s="24" t="n"/>
      <c r="BV28" s="24" t="n"/>
      <c r="BW28" s="23" t="n"/>
      <c r="BX28" s="26">
        <f>IFERROR(IF(BI28="","",VLOOKUP(BI28,WOTable,2,FALSE)),"")</f>
        <v/>
      </c>
    </row>
    <row r="29" ht="28" customHeight="1">
      <c r="B29" s="22" t="n"/>
      <c r="C29" s="23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5">
        <f>IF(AND(J29="",K29=""),"",N(J29)+N(K29))</f>
        <v/>
      </c>
      <c r="M29" s="22" t="n"/>
      <c r="N29" s="24" t="n"/>
      <c r="O29" s="23" t="n"/>
      <c r="P29" s="24" t="n"/>
      <c r="Q29" s="24" t="n"/>
      <c r="R29" s="23" t="n"/>
      <c r="S29" s="26">
        <f>IFERROR(IF(D29="","",VLOOKUP(D29,WOTable,2,FALSE)),"")</f>
        <v/>
      </c>
      <c r="U29" s="22" t="n"/>
      <c r="V29" s="23" t="n"/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5">
        <f>IF(AND(AC29="",AD29=""),"",N(AC29)+N(AD29))</f>
        <v/>
      </c>
      <c r="AF29" s="22" t="n"/>
      <c r="AG29" s="24" t="n"/>
      <c r="AH29" s="23" t="n"/>
      <c r="AI29" s="24" t="n"/>
      <c r="AJ29" s="24" t="n"/>
      <c r="AK29" s="23" t="n"/>
      <c r="AL29" s="26">
        <f>IFERROR(IF(W29="","",VLOOKUP(W29,WOTable,2,FALSE)),"")</f>
        <v/>
      </c>
      <c r="AN29" s="22" t="n"/>
      <c r="AO29" s="23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5">
        <f>IF(AND(AV29="",AW29=""),"",N(AV29)+N(AW29))</f>
        <v/>
      </c>
      <c r="AY29" s="22" t="n"/>
      <c r="AZ29" s="24" t="n"/>
      <c r="BA29" s="23" t="n"/>
      <c r="BB29" s="24" t="n"/>
      <c r="BC29" s="24" t="n"/>
      <c r="BD29" s="23" t="n"/>
      <c r="BE29" s="26">
        <f>IFERROR(IF(AP29="","",VLOOKUP(AP29,WOTable,2,FALSE)),"")</f>
        <v/>
      </c>
      <c r="BG29" s="22" t="n"/>
      <c r="BH29" s="23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5">
        <f>IF(AND(BO29="",BP29=""),"",N(BO29)+N(BP29))</f>
        <v/>
      </c>
      <c r="BR29" s="22" t="n"/>
      <c r="BS29" s="24" t="n"/>
      <c r="BT29" s="23" t="n"/>
      <c r="BU29" s="24" t="n"/>
      <c r="BV29" s="24" t="n"/>
      <c r="BW29" s="23" t="n"/>
      <c r="BX29" s="26">
        <f>IFERROR(IF(BI29="","",VLOOKUP(BI29,WOTable,2,FALSE)),"")</f>
        <v/>
      </c>
    </row>
    <row r="30" ht="28" customHeight="1">
      <c r="B30" s="22" t="n"/>
      <c r="C30" s="23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7">
        <f>IF(AND(J30="",K30=""),"",N(J30)+N(K30))</f>
        <v/>
      </c>
      <c r="M30" s="22" t="n"/>
      <c r="N30" s="24" t="n"/>
      <c r="O30" s="23" t="n"/>
      <c r="P30" s="24" t="n"/>
      <c r="Q30" s="24" t="n"/>
      <c r="R30" s="23" t="n"/>
      <c r="S30" s="26">
        <f>IFERROR(IF(D30="","",VLOOKUP(D30,WOTable,2,FALSE)),"")</f>
        <v/>
      </c>
      <c r="U30" s="22" t="n"/>
      <c r="V30" s="23" t="n"/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7">
        <f>IF(AND(AC30="",AD30=""),"",N(AC30)+N(AD30))</f>
        <v/>
      </c>
      <c r="AF30" s="22" t="n"/>
      <c r="AG30" s="24" t="n"/>
      <c r="AH30" s="23" t="n"/>
      <c r="AI30" s="24" t="n"/>
      <c r="AJ30" s="24" t="n"/>
      <c r="AK30" s="23" t="n"/>
      <c r="AL30" s="26">
        <f>IFERROR(IF(W30="","",VLOOKUP(W30,WOTable,2,FALSE)),"")</f>
        <v/>
      </c>
      <c r="AN30" s="22" t="n"/>
      <c r="AO30" s="23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7">
        <f>IF(AND(AV30="",AW30=""),"",N(AV30)+N(AW30))</f>
        <v/>
      </c>
      <c r="AY30" s="22" t="n"/>
      <c r="AZ30" s="24" t="n"/>
      <c r="BA30" s="23" t="n"/>
      <c r="BB30" s="24" t="n"/>
      <c r="BC30" s="24" t="n"/>
      <c r="BD30" s="23" t="n"/>
      <c r="BE30" s="26">
        <f>IFERROR(IF(AP30="","",VLOOKUP(AP30,WOTable,2,FALSE)),"")</f>
        <v/>
      </c>
      <c r="BG30" s="22" t="n"/>
      <c r="BH30" s="23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7">
        <f>IF(AND(BO30="",BP30=""),"",N(BO30)+N(BP30))</f>
        <v/>
      </c>
      <c r="BR30" s="22" t="n"/>
      <c r="BS30" s="24" t="n"/>
      <c r="BT30" s="23" t="n"/>
      <c r="BU30" s="24" t="n"/>
      <c r="BV30" s="24" t="n"/>
      <c r="BW30" s="23" t="n"/>
      <c r="BX30" s="26">
        <f>IFERROR(IF(BI30="","",VLOOKUP(BI30,WOTable,2,FALSE)),"")</f>
        <v/>
      </c>
    </row>
    <row r="31" ht="28" customHeight="1">
      <c r="B31" s="22" t="n"/>
      <c r="C31" s="23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5">
        <f>IF(AND(J31="",K31=""),"",N(J31)+N(K31))</f>
        <v/>
      </c>
      <c r="M31" s="22" t="n"/>
      <c r="N31" s="24" t="n"/>
      <c r="O31" s="23" t="n"/>
      <c r="P31" s="24" t="n"/>
      <c r="Q31" s="24" t="n"/>
      <c r="R31" s="23" t="n"/>
      <c r="S31" s="26">
        <f>IFERROR(IF(D31="","",VLOOKUP(D31,WOTable,2,FALSE)),"")</f>
        <v/>
      </c>
      <c r="U31" s="22" t="n"/>
      <c r="V31" s="23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5">
        <f>IF(AND(AC31="",AD31=""),"",N(AC31)+N(AD31))</f>
        <v/>
      </c>
      <c r="AF31" s="22" t="n"/>
      <c r="AG31" s="24" t="n"/>
      <c r="AH31" s="23" t="n"/>
      <c r="AI31" s="24" t="n"/>
      <c r="AJ31" s="24" t="n"/>
      <c r="AK31" s="23" t="n"/>
      <c r="AL31" s="26">
        <f>IFERROR(IF(W31="","",VLOOKUP(W31,WOTable,2,FALSE)),"")</f>
        <v/>
      </c>
      <c r="AN31" s="22" t="n"/>
      <c r="AO31" s="23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5">
        <f>IF(AND(AV31="",AW31=""),"",N(AV31)+N(AW31))</f>
        <v/>
      </c>
      <c r="AY31" s="22" t="n"/>
      <c r="AZ31" s="24" t="n"/>
      <c r="BA31" s="23" t="n"/>
      <c r="BB31" s="24" t="n"/>
      <c r="BC31" s="24" t="n"/>
      <c r="BD31" s="23" t="n"/>
      <c r="BE31" s="26">
        <f>IFERROR(IF(AP31="","",VLOOKUP(AP31,WOTable,2,FALSE)),"")</f>
        <v/>
      </c>
      <c r="BG31" s="22" t="n"/>
      <c r="BH31" s="23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5">
        <f>IF(AND(BO31="",BP31=""),"",N(BO31)+N(BP31))</f>
        <v/>
      </c>
      <c r="BR31" s="22" t="n"/>
      <c r="BS31" s="24" t="n"/>
      <c r="BT31" s="23" t="n"/>
      <c r="BU31" s="24" t="n"/>
      <c r="BV31" s="24" t="n"/>
      <c r="BW31" s="23" t="n"/>
      <c r="BX31" s="26">
        <f>IFERROR(IF(BI31="","",VLOOKUP(BI31,WOTable,2,FALSE)),"")</f>
        <v/>
      </c>
    </row>
    <row r="32" ht="28" customHeight="1">
      <c r="B32" s="22" t="n"/>
      <c r="C32" s="23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7">
        <f>IF(AND(J32="",K32=""),"",N(J32)+N(K32))</f>
        <v/>
      </c>
      <c r="M32" s="22" t="n"/>
      <c r="N32" s="24" t="n"/>
      <c r="O32" s="23" t="n"/>
      <c r="P32" s="24" t="n"/>
      <c r="Q32" s="24" t="n"/>
      <c r="R32" s="23" t="n"/>
      <c r="S32" s="26">
        <f>IFERROR(IF(D32="","",VLOOKUP(D32,WOTable,2,FALSE)),"")</f>
        <v/>
      </c>
      <c r="U32" s="22" t="n"/>
      <c r="V32" s="23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7">
        <f>IF(AND(AC32="",AD32=""),"",N(AC32)+N(AD32))</f>
        <v/>
      </c>
      <c r="AF32" s="22" t="n"/>
      <c r="AG32" s="24" t="n"/>
      <c r="AH32" s="23" t="n"/>
      <c r="AI32" s="24" t="n"/>
      <c r="AJ32" s="24" t="n"/>
      <c r="AK32" s="23" t="n"/>
      <c r="AL32" s="26">
        <f>IFERROR(IF(W32="","",VLOOKUP(W32,WOTable,2,FALSE)),"")</f>
        <v/>
      </c>
      <c r="AN32" s="22" t="n"/>
      <c r="AO32" s="23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7">
        <f>IF(AND(AV32="",AW32=""),"",N(AV32)+N(AW32))</f>
        <v/>
      </c>
      <c r="AY32" s="22" t="n"/>
      <c r="AZ32" s="24" t="n"/>
      <c r="BA32" s="23" t="n"/>
      <c r="BB32" s="24" t="n"/>
      <c r="BC32" s="24" t="n"/>
      <c r="BD32" s="23" t="n"/>
      <c r="BE32" s="26">
        <f>IFERROR(IF(AP32="","",VLOOKUP(AP32,WOTable,2,FALSE)),"")</f>
        <v/>
      </c>
      <c r="BG32" s="22" t="n"/>
      <c r="BH32" s="23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7">
        <f>IF(AND(BO32="",BP32=""),"",N(BO32)+N(BP32))</f>
        <v/>
      </c>
      <c r="BR32" s="22" t="n"/>
      <c r="BS32" s="24" t="n"/>
      <c r="BT32" s="23" t="n"/>
      <c r="BU32" s="24" t="n"/>
      <c r="BV32" s="24" t="n"/>
      <c r="BW32" s="23" t="n"/>
      <c r="BX32" s="26">
        <f>IFERROR(IF(BI32="","",VLOOKUP(BI32,WOTable,2,FALSE)),"")</f>
        <v/>
      </c>
    </row>
    <row r="33" ht="28" customHeight="1">
      <c r="B33" s="22" t="n"/>
      <c r="C33" s="23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5">
        <f>IF(AND(J33="",K33=""),"",N(J33)+N(K33))</f>
        <v/>
      </c>
      <c r="M33" s="22" t="n"/>
      <c r="N33" s="24" t="n"/>
      <c r="O33" s="23" t="n"/>
      <c r="P33" s="24" t="n"/>
      <c r="Q33" s="24" t="n"/>
      <c r="R33" s="23" t="n"/>
      <c r="S33" s="26">
        <f>IFERROR(IF(D33="","",VLOOKUP(D33,WOTable,2,FALSE)),"")</f>
        <v/>
      </c>
      <c r="U33" s="22" t="n"/>
      <c r="V33" s="23" t="n"/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5">
        <f>IF(AND(AC33="",AD33=""),"",N(AC33)+N(AD33))</f>
        <v/>
      </c>
      <c r="AF33" s="22" t="n"/>
      <c r="AG33" s="24" t="n"/>
      <c r="AH33" s="23" t="n"/>
      <c r="AI33" s="24" t="n"/>
      <c r="AJ33" s="24" t="n"/>
      <c r="AK33" s="23" t="n"/>
      <c r="AL33" s="26">
        <f>IFERROR(IF(W33="","",VLOOKUP(W33,WOTable,2,FALSE)),"")</f>
        <v/>
      </c>
      <c r="AN33" s="22" t="n"/>
      <c r="AO33" s="23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5">
        <f>IF(AND(AV33="",AW33=""),"",N(AV33)+N(AW33))</f>
        <v/>
      </c>
      <c r="AY33" s="22" t="n"/>
      <c r="AZ33" s="24" t="n"/>
      <c r="BA33" s="23" t="n"/>
      <c r="BB33" s="24" t="n"/>
      <c r="BC33" s="24" t="n"/>
      <c r="BD33" s="23" t="n"/>
      <c r="BE33" s="26">
        <f>IFERROR(IF(AP33="","",VLOOKUP(AP33,WOTable,2,FALSE)),"")</f>
        <v/>
      </c>
      <c r="BG33" s="22" t="n"/>
      <c r="BH33" s="23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5">
        <f>IF(AND(BO33="",BP33=""),"",N(BO33)+N(BP33))</f>
        <v/>
      </c>
      <c r="BR33" s="22" t="n"/>
      <c r="BS33" s="24" t="n"/>
      <c r="BT33" s="23" t="n"/>
      <c r="BU33" s="24" t="n"/>
      <c r="BV33" s="24" t="n"/>
      <c r="BW33" s="23" t="n"/>
      <c r="BX33" s="26">
        <f>IFERROR(IF(BI33="","",VLOOKUP(BI33,WOTable,2,FALSE)),"")</f>
        <v/>
      </c>
    </row>
    <row r="34" ht="28" customHeight="1">
      <c r="B34" s="22" t="n"/>
      <c r="C34" s="23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7">
        <f>IF(AND(J34="",K34=""),"",N(J34)+N(K34))</f>
        <v/>
      </c>
      <c r="M34" s="22" t="n"/>
      <c r="N34" s="24" t="n"/>
      <c r="O34" s="23" t="n"/>
      <c r="P34" s="24" t="n"/>
      <c r="Q34" s="24" t="n"/>
      <c r="R34" s="23" t="n"/>
      <c r="S34" s="26">
        <f>IFERROR(IF(D34="","",VLOOKUP(D34,WOTable,2,FALSE)),"")</f>
        <v/>
      </c>
      <c r="U34" s="22" t="n"/>
      <c r="V34" s="23" t="n"/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7">
        <f>IF(AND(AC34="",AD34=""),"",N(AC34)+N(AD34))</f>
        <v/>
      </c>
      <c r="AF34" s="22" t="n"/>
      <c r="AG34" s="24" t="n"/>
      <c r="AH34" s="23" t="n"/>
      <c r="AI34" s="24" t="n"/>
      <c r="AJ34" s="24" t="n"/>
      <c r="AK34" s="23" t="n"/>
      <c r="AL34" s="26">
        <f>IFERROR(IF(W34="","",VLOOKUP(W34,WOTable,2,FALSE)),"")</f>
        <v/>
      </c>
      <c r="AN34" s="22" t="n"/>
      <c r="AO34" s="23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7">
        <f>IF(AND(AV34="",AW34=""),"",N(AV34)+N(AW34))</f>
        <v/>
      </c>
      <c r="AY34" s="22" t="n"/>
      <c r="AZ34" s="24" t="n"/>
      <c r="BA34" s="23" t="n"/>
      <c r="BB34" s="24" t="n"/>
      <c r="BC34" s="24" t="n"/>
      <c r="BD34" s="23" t="n"/>
      <c r="BE34" s="26">
        <f>IFERROR(IF(AP34="","",VLOOKUP(AP34,WOTable,2,FALSE)),"")</f>
        <v/>
      </c>
      <c r="BG34" s="22" t="n"/>
      <c r="BH34" s="23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7">
        <f>IF(AND(BO34="",BP34=""),"",N(BO34)+N(BP34))</f>
        <v/>
      </c>
      <c r="BR34" s="22" t="n"/>
      <c r="BS34" s="24" t="n"/>
      <c r="BT34" s="23" t="n"/>
      <c r="BU34" s="24" t="n"/>
      <c r="BV34" s="24" t="n"/>
      <c r="BW34" s="23" t="n"/>
      <c r="BX34" s="26">
        <f>IFERROR(IF(BI34="","",VLOOKUP(BI34,WOTable,2,FALSE)),"")</f>
        <v/>
      </c>
    </row>
    <row r="35" ht="28" customHeight="1">
      <c r="B35" s="22" t="n"/>
      <c r="C35" s="23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5">
        <f>IF(AND(J35="",K35=""),"",N(J35)+N(K35))</f>
        <v/>
      </c>
      <c r="M35" s="22" t="n"/>
      <c r="N35" s="24" t="n"/>
      <c r="O35" s="23" t="n"/>
      <c r="P35" s="24" t="n"/>
      <c r="Q35" s="24" t="n"/>
      <c r="R35" s="23" t="n"/>
      <c r="S35" s="26">
        <f>IFERROR(IF(D35="","",VLOOKUP(D35,WOTable,2,FALSE)),"")</f>
        <v/>
      </c>
      <c r="U35" s="22" t="n"/>
      <c r="V35" s="23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5">
        <f>IF(AND(AC35="",AD35=""),"",N(AC35)+N(AD35))</f>
        <v/>
      </c>
      <c r="AF35" s="22" t="n"/>
      <c r="AG35" s="24" t="n"/>
      <c r="AH35" s="23" t="n"/>
      <c r="AI35" s="24" t="n"/>
      <c r="AJ35" s="24" t="n"/>
      <c r="AK35" s="23" t="n"/>
      <c r="AL35" s="26">
        <f>IFERROR(IF(W35="","",VLOOKUP(W35,WOTable,2,FALSE)),"")</f>
        <v/>
      </c>
      <c r="AN35" s="22" t="n"/>
      <c r="AO35" s="23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5">
        <f>IF(AND(AV35="",AW35=""),"",N(AV35)+N(AW35))</f>
        <v/>
      </c>
      <c r="AY35" s="22" t="n"/>
      <c r="AZ35" s="24" t="n"/>
      <c r="BA35" s="23" t="n"/>
      <c r="BB35" s="24" t="n"/>
      <c r="BC35" s="24" t="n"/>
      <c r="BD35" s="23" t="n"/>
      <c r="BE35" s="26">
        <f>IFERROR(IF(AP35="","",VLOOKUP(AP35,WOTable,2,FALSE)),"")</f>
        <v/>
      </c>
      <c r="BG35" s="22" t="n"/>
      <c r="BH35" s="23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5">
        <f>IF(AND(BO35="",BP35=""),"",N(BO35)+N(BP35))</f>
        <v/>
      </c>
      <c r="BR35" s="22" t="n"/>
      <c r="BS35" s="24" t="n"/>
      <c r="BT35" s="23" t="n"/>
      <c r="BU35" s="24" t="n"/>
      <c r="BV35" s="24" t="n"/>
      <c r="BW35" s="23" t="n"/>
      <c r="BX35" s="26">
        <f>IFERROR(IF(BI35="","",VLOOKUP(BI35,WOTable,2,FALSE)),"")</f>
        <v/>
      </c>
    </row>
    <row r="36" ht="28" customHeight="1">
      <c r="B36" s="22" t="n"/>
      <c r="C36" s="23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7">
        <f>IF(AND(J36="",K36=""),"",N(J36)+N(K36))</f>
        <v/>
      </c>
      <c r="M36" s="22" t="n"/>
      <c r="N36" s="24" t="n"/>
      <c r="O36" s="23" t="n"/>
      <c r="P36" s="24" t="n"/>
      <c r="Q36" s="24" t="n"/>
      <c r="R36" s="23" t="n"/>
      <c r="S36" s="26">
        <f>IFERROR(IF(D36="","",VLOOKUP(D36,WOTable,2,FALSE)),"")</f>
        <v/>
      </c>
      <c r="U36" s="22" t="n"/>
      <c r="V36" s="23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7">
        <f>IF(AND(AC36="",AD36=""),"",N(AC36)+N(AD36))</f>
        <v/>
      </c>
      <c r="AF36" s="22" t="n"/>
      <c r="AG36" s="24" t="n"/>
      <c r="AH36" s="23" t="n"/>
      <c r="AI36" s="24" t="n"/>
      <c r="AJ36" s="24" t="n"/>
      <c r="AK36" s="23" t="n"/>
      <c r="AL36" s="26">
        <f>IFERROR(IF(W36="","",VLOOKUP(W36,WOTable,2,FALSE)),"")</f>
        <v/>
      </c>
      <c r="AN36" s="22" t="n"/>
      <c r="AO36" s="23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7">
        <f>IF(AND(AV36="",AW36=""),"",N(AV36)+N(AW36))</f>
        <v/>
      </c>
      <c r="AY36" s="22" t="n"/>
      <c r="AZ36" s="24" t="n"/>
      <c r="BA36" s="23" t="n"/>
      <c r="BB36" s="24" t="n"/>
      <c r="BC36" s="24" t="n"/>
      <c r="BD36" s="23" t="n"/>
      <c r="BE36" s="26">
        <f>IFERROR(IF(AP36="","",VLOOKUP(AP36,WOTable,2,FALSE)),"")</f>
        <v/>
      </c>
      <c r="BG36" s="22" t="n"/>
      <c r="BH36" s="23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7">
        <f>IF(AND(BO36="",BP36=""),"",N(BO36)+N(BP36))</f>
        <v/>
      </c>
      <c r="BR36" s="22" t="n"/>
      <c r="BS36" s="24" t="n"/>
      <c r="BT36" s="23" t="n"/>
      <c r="BU36" s="24" t="n"/>
      <c r="BV36" s="24" t="n"/>
      <c r="BW36" s="23" t="n"/>
      <c r="BX36" s="26">
        <f>IFERROR(IF(BI36="","",VLOOKUP(BI36,WOTable,2,FALSE)),"")</f>
        <v/>
      </c>
    </row>
    <row r="37" ht="28" customHeight="1">
      <c r="B37" s="22" t="n"/>
      <c r="C37" s="23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5">
        <f>IF(AND(J37="",K37=""),"",N(J37)+N(K37))</f>
        <v/>
      </c>
      <c r="M37" s="22" t="n"/>
      <c r="N37" s="24" t="n"/>
      <c r="O37" s="23" t="n"/>
      <c r="P37" s="24" t="n"/>
      <c r="Q37" s="24" t="n"/>
      <c r="R37" s="23" t="n"/>
      <c r="S37" s="26">
        <f>IFERROR(IF(D37="","",VLOOKUP(D37,WOTable,2,FALSE)),"")</f>
        <v/>
      </c>
      <c r="U37" s="22" t="n"/>
      <c r="V37" s="23" t="n"/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5">
        <f>IF(AND(AC37="",AD37=""),"",N(AC37)+N(AD37))</f>
        <v/>
      </c>
      <c r="AF37" s="22" t="n"/>
      <c r="AG37" s="24" t="n"/>
      <c r="AH37" s="23" t="n"/>
      <c r="AI37" s="24" t="n"/>
      <c r="AJ37" s="24" t="n"/>
      <c r="AK37" s="23" t="n"/>
      <c r="AL37" s="26">
        <f>IFERROR(IF(W37="","",VLOOKUP(W37,WOTable,2,FALSE)),"")</f>
        <v/>
      </c>
      <c r="AN37" s="22" t="n"/>
      <c r="AO37" s="23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5">
        <f>IF(AND(AV37="",AW37=""),"",N(AV37)+N(AW37))</f>
        <v/>
      </c>
      <c r="AY37" s="22" t="n"/>
      <c r="AZ37" s="24" t="n"/>
      <c r="BA37" s="23" t="n"/>
      <c r="BB37" s="24" t="n"/>
      <c r="BC37" s="24" t="n"/>
      <c r="BD37" s="23" t="n"/>
      <c r="BE37" s="26">
        <f>IFERROR(IF(AP37="","",VLOOKUP(AP37,WOTable,2,FALSE)),"")</f>
        <v/>
      </c>
      <c r="BG37" s="22" t="n"/>
      <c r="BH37" s="23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5">
        <f>IF(AND(BO37="",BP37=""),"",N(BO37)+N(BP37))</f>
        <v/>
      </c>
      <c r="BR37" s="22" t="n"/>
      <c r="BS37" s="24" t="n"/>
      <c r="BT37" s="23" t="n"/>
      <c r="BU37" s="24" t="n"/>
      <c r="BV37" s="24" t="n"/>
      <c r="BW37" s="23" t="n"/>
      <c r="BX37" s="26">
        <f>IFERROR(IF(BI37="","",VLOOKUP(BI37,WOTable,2,FALSE)),"")</f>
        <v/>
      </c>
    </row>
    <row r="38" ht="28" customHeight="1">
      <c r="B38" s="22" t="n"/>
      <c r="C38" s="23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7">
        <f>IF(AND(J38="",K38=""),"",N(J38)+N(K38))</f>
        <v/>
      </c>
      <c r="M38" s="22" t="n"/>
      <c r="N38" s="24" t="n"/>
      <c r="O38" s="23" t="n"/>
      <c r="P38" s="24" t="n"/>
      <c r="Q38" s="24" t="n"/>
      <c r="R38" s="23" t="n"/>
      <c r="S38" s="26">
        <f>IFERROR(IF(D38="","",VLOOKUP(D38,WOTable,2,FALSE)),"")</f>
        <v/>
      </c>
      <c r="U38" s="22" t="n"/>
      <c r="V38" s="23" t="n"/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7">
        <f>IF(AND(AC38="",AD38=""),"",N(AC38)+N(AD38))</f>
        <v/>
      </c>
      <c r="AF38" s="22" t="n"/>
      <c r="AG38" s="24" t="n"/>
      <c r="AH38" s="23" t="n"/>
      <c r="AI38" s="24" t="n"/>
      <c r="AJ38" s="24" t="n"/>
      <c r="AK38" s="23" t="n"/>
      <c r="AL38" s="26">
        <f>IFERROR(IF(W38="","",VLOOKUP(W38,WOTable,2,FALSE)),"")</f>
        <v/>
      </c>
      <c r="AN38" s="22" t="n"/>
      <c r="AO38" s="23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7">
        <f>IF(AND(AV38="",AW38=""),"",N(AV38)+N(AW38))</f>
        <v/>
      </c>
      <c r="AY38" s="22" t="n"/>
      <c r="AZ38" s="24" t="n"/>
      <c r="BA38" s="23" t="n"/>
      <c r="BB38" s="24" t="n"/>
      <c r="BC38" s="24" t="n"/>
      <c r="BD38" s="23" t="n"/>
      <c r="BE38" s="26">
        <f>IFERROR(IF(AP38="","",VLOOKUP(AP38,WOTable,2,FALSE)),"")</f>
        <v/>
      </c>
      <c r="BG38" s="22" t="n"/>
      <c r="BH38" s="23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7">
        <f>IF(AND(BO38="",BP38=""),"",N(BO38)+N(BP38))</f>
        <v/>
      </c>
      <c r="BR38" s="22" t="n"/>
      <c r="BS38" s="24" t="n"/>
      <c r="BT38" s="23" t="n"/>
      <c r="BU38" s="24" t="n"/>
      <c r="BV38" s="24" t="n"/>
      <c r="BW38" s="23" t="n"/>
      <c r="BX38" s="26">
        <f>IFERROR(IF(BI38="","",VLOOKUP(BI38,WOTable,2,FALSE)),"")</f>
        <v/>
      </c>
    </row>
    <row r="39" ht="28" customHeight="1">
      <c r="B39" s="22" t="n"/>
      <c r="C39" s="23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5">
        <f>IF(AND(J39="",K39=""),"",N(J39)+N(K39))</f>
        <v/>
      </c>
      <c r="M39" s="22" t="n"/>
      <c r="N39" s="24" t="n"/>
      <c r="O39" s="23" t="n"/>
      <c r="P39" s="24" t="n"/>
      <c r="Q39" s="24" t="n"/>
      <c r="R39" s="23" t="n"/>
      <c r="S39" s="26">
        <f>IFERROR(IF(D39="","",VLOOKUP(D39,WOTable,2,FALSE)),"")</f>
        <v/>
      </c>
      <c r="U39" s="22" t="n"/>
      <c r="V39" s="23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5">
        <f>IF(AND(AC39="",AD39=""),"",N(AC39)+N(AD39))</f>
        <v/>
      </c>
      <c r="AF39" s="22" t="n"/>
      <c r="AG39" s="24" t="n"/>
      <c r="AH39" s="23" t="n"/>
      <c r="AI39" s="24" t="n"/>
      <c r="AJ39" s="24" t="n"/>
      <c r="AK39" s="23" t="n"/>
      <c r="AL39" s="26">
        <f>IFERROR(IF(W39="","",VLOOKUP(W39,WOTable,2,FALSE)),"")</f>
        <v/>
      </c>
      <c r="AN39" s="22" t="n"/>
      <c r="AO39" s="23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5">
        <f>IF(AND(AV39="",AW39=""),"",N(AV39)+N(AW39))</f>
        <v/>
      </c>
      <c r="AY39" s="22" t="n"/>
      <c r="AZ39" s="24" t="n"/>
      <c r="BA39" s="23" t="n"/>
      <c r="BB39" s="24" t="n"/>
      <c r="BC39" s="24" t="n"/>
      <c r="BD39" s="23" t="n"/>
      <c r="BE39" s="26">
        <f>IFERROR(IF(AP39="","",VLOOKUP(AP39,WOTable,2,FALSE)),"")</f>
        <v/>
      </c>
      <c r="BG39" s="22" t="n"/>
      <c r="BH39" s="23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5">
        <f>IF(AND(BO39="",BP39=""),"",N(BO39)+N(BP39))</f>
        <v/>
      </c>
      <c r="BR39" s="22" t="n"/>
      <c r="BS39" s="24" t="n"/>
      <c r="BT39" s="23" t="n"/>
      <c r="BU39" s="24" t="n"/>
      <c r="BV39" s="24" t="n"/>
      <c r="BW39" s="23" t="n"/>
      <c r="BX39" s="26">
        <f>IFERROR(IF(BI39="","",VLOOKUP(BI39,WOTable,2,FALSE)),"")</f>
        <v/>
      </c>
    </row>
    <row r="40" ht="28" customHeight="1">
      <c r="B40" s="22" t="n"/>
      <c r="C40" s="23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7">
        <f>IF(AND(J40="",K40=""),"",N(J40)+N(K40))</f>
        <v/>
      </c>
      <c r="M40" s="22" t="n"/>
      <c r="N40" s="24" t="n"/>
      <c r="O40" s="23" t="n"/>
      <c r="P40" s="24" t="n"/>
      <c r="Q40" s="24" t="n"/>
      <c r="R40" s="23" t="n"/>
      <c r="S40" s="26">
        <f>IFERROR(IF(D40="","",VLOOKUP(D40,WOTable,2,FALSE)),"")</f>
        <v/>
      </c>
      <c r="U40" s="22" t="n"/>
      <c r="V40" s="23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7">
        <f>IF(AND(AC40="",AD40=""),"",N(AC40)+N(AD40))</f>
        <v/>
      </c>
      <c r="AF40" s="22" t="n"/>
      <c r="AG40" s="24" t="n"/>
      <c r="AH40" s="23" t="n"/>
      <c r="AI40" s="24" t="n"/>
      <c r="AJ40" s="24" t="n"/>
      <c r="AK40" s="23" t="n"/>
      <c r="AL40" s="26">
        <f>IFERROR(IF(W40="","",VLOOKUP(W40,WOTable,2,FALSE)),"")</f>
        <v/>
      </c>
      <c r="AN40" s="22" t="n"/>
      <c r="AO40" s="23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7">
        <f>IF(AND(AV40="",AW40=""),"",N(AV40)+N(AW40))</f>
        <v/>
      </c>
      <c r="AY40" s="22" t="n"/>
      <c r="AZ40" s="24" t="n"/>
      <c r="BA40" s="23" t="n"/>
      <c r="BB40" s="24" t="n"/>
      <c r="BC40" s="24" t="n"/>
      <c r="BD40" s="23" t="n"/>
      <c r="BE40" s="26">
        <f>IFERROR(IF(AP40="","",VLOOKUP(AP40,WOTable,2,FALSE)),"")</f>
        <v/>
      </c>
      <c r="BG40" s="22" t="n"/>
      <c r="BH40" s="23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7">
        <f>IF(AND(BO40="",BP40=""),"",N(BO40)+N(BP40))</f>
        <v/>
      </c>
      <c r="BR40" s="22" t="n"/>
      <c r="BS40" s="24" t="n"/>
      <c r="BT40" s="23" t="n"/>
      <c r="BU40" s="24" t="n"/>
      <c r="BV40" s="24" t="n"/>
      <c r="BW40" s="23" t="n"/>
      <c r="BX40" s="26">
        <f>IFERROR(IF(BI40="","",VLOOKUP(BI40,WOTable,2,FALSE)),"")</f>
        <v/>
      </c>
    </row>
    <row r="41" ht="28" customHeight="1">
      <c r="B41" s="22" t="n"/>
      <c r="C41" s="23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5">
        <f>IF(AND(J41="",K41=""),"",N(J41)+N(K41))</f>
        <v/>
      </c>
      <c r="M41" s="22" t="n"/>
      <c r="N41" s="24" t="n"/>
      <c r="O41" s="23" t="n"/>
      <c r="P41" s="24" t="n"/>
      <c r="Q41" s="24" t="n"/>
      <c r="R41" s="23" t="n"/>
      <c r="S41" s="26">
        <f>IFERROR(IF(D41="","",VLOOKUP(D41,WOTable,2,FALSE)),"")</f>
        <v/>
      </c>
      <c r="U41" s="22" t="n"/>
      <c r="V41" s="23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5">
        <f>IF(AND(AC41="",AD41=""),"",N(AC41)+N(AD41))</f>
        <v/>
      </c>
      <c r="AF41" s="22" t="n"/>
      <c r="AG41" s="24" t="n"/>
      <c r="AH41" s="23" t="n"/>
      <c r="AI41" s="24" t="n"/>
      <c r="AJ41" s="24" t="n"/>
      <c r="AK41" s="23" t="n"/>
      <c r="AL41" s="26">
        <f>IFERROR(IF(W41="","",VLOOKUP(W41,WOTable,2,FALSE)),"")</f>
        <v/>
      </c>
      <c r="AN41" s="22" t="n"/>
      <c r="AO41" s="23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5">
        <f>IF(AND(AV41="",AW41=""),"",N(AV41)+N(AW41))</f>
        <v/>
      </c>
      <c r="AY41" s="22" t="n"/>
      <c r="AZ41" s="24" t="n"/>
      <c r="BA41" s="23" t="n"/>
      <c r="BB41" s="24" t="n"/>
      <c r="BC41" s="24" t="n"/>
      <c r="BD41" s="23" t="n"/>
      <c r="BE41" s="26">
        <f>IFERROR(IF(AP41="","",VLOOKUP(AP41,WOTable,2,FALSE)),"")</f>
        <v/>
      </c>
      <c r="BG41" s="22" t="n"/>
      <c r="BH41" s="23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5">
        <f>IF(AND(BO41="",BP41=""),"",N(BO41)+N(BP41))</f>
        <v/>
      </c>
      <c r="BR41" s="22" t="n"/>
      <c r="BS41" s="24" t="n"/>
      <c r="BT41" s="23" t="n"/>
      <c r="BU41" s="24" t="n"/>
      <c r="BV41" s="24" t="n"/>
      <c r="BW41" s="23" t="n"/>
      <c r="BX41" s="26">
        <f>IFERROR(IF(BI41="","",VLOOKUP(BI41,WOTable,2,FALSE)),"")</f>
        <v/>
      </c>
    </row>
    <row r="42" ht="28" customHeight="1">
      <c r="B42" s="22" t="n"/>
      <c r="C42" s="23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7">
        <f>IF(AND(J42="",K42=""),"",N(J42)+N(K42))</f>
        <v/>
      </c>
      <c r="M42" s="22" t="n"/>
      <c r="N42" s="24" t="n"/>
      <c r="O42" s="23" t="n"/>
      <c r="P42" s="24" t="n"/>
      <c r="Q42" s="24" t="n"/>
      <c r="R42" s="23" t="n"/>
      <c r="S42" s="26">
        <f>IFERROR(IF(D42="","",VLOOKUP(D42,WOTable,2,FALSE)),"")</f>
        <v/>
      </c>
      <c r="U42" s="22" t="n"/>
      <c r="V42" s="23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7">
        <f>IF(AND(AC42="",AD42=""),"",N(AC42)+N(AD42))</f>
        <v/>
      </c>
      <c r="AF42" s="22" t="n"/>
      <c r="AG42" s="24" t="n"/>
      <c r="AH42" s="23" t="n"/>
      <c r="AI42" s="24" t="n"/>
      <c r="AJ42" s="24" t="n"/>
      <c r="AK42" s="23" t="n"/>
      <c r="AL42" s="26">
        <f>IFERROR(IF(W42="","",VLOOKUP(W42,WOTable,2,FALSE)),"")</f>
        <v/>
      </c>
      <c r="AN42" s="22" t="n"/>
      <c r="AO42" s="23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7">
        <f>IF(AND(AV42="",AW42=""),"",N(AV42)+N(AW42))</f>
        <v/>
      </c>
      <c r="AY42" s="22" t="n"/>
      <c r="AZ42" s="24" t="n"/>
      <c r="BA42" s="23" t="n"/>
      <c r="BB42" s="24" t="n"/>
      <c r="BC42" s="24" t="n"/>
      <c r="BD42" s="23" t="n"/>
      <c r="BE42" s="26">
        <f>IFERROR(IF(AP42="","",VLOOKUP(AP42,WOTable,2,FALSE)),"")</f>
        <v/>
      </c>
      <c r="BG42" s="22" t="n"/>
      <c r="BH42" s="23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7">
        <f>IF(AND(BO42="",BP42=""),"",N(BO42)+N(BP42))</f>
        <v/>
      </c>
      <c r="BR42" s="22" t="n"/>
      <c r="BS42" s="24" t="n"/>
      <c r="BT42" s="23" t="n"/>
      <c r="BU42" s="24" t="n"/>
      <c r="BV42" s="24" t="n"/>
      <c r="BW42" s="23" t="n"/>
      <c r="BX42" s="26">
        <f>IFERROR(IF(BI42="","",VLOOKUP(BI42,WOTable,2,FALSE)),"")</f>
        <v/>
      </c>
    </row>
    <row r="43" ht="28" customHeight="1">
      <c r="B43" s="22" t="n"/>
      <c r="C43" s="23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5">
        <f>IF(AND(J43="",K43=""),"",N(J43)+N(K43))</f>
        <v/>
      </c>
      <c r="M43" s="22" t="n"/>
      <c r="N43" s="24" t="n"/>
      <c r="O43" s="23" t="n"/>
      <c r="P43" s="24" t="n"/>
      <c r="Q43" s="24" t="n"/>
      <c r="R43" s="23" t="n"/>
      <c r="S43" s="26">
        <f>IFERROR(IF(D43="","",VLOOKUP(D43,WOTable,2,FALSE)),"")</f>
        <v/>
      </c>
      <c r="U43" s="22" t="n"/>
      <c r="V43" s="23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5">
        <f>IF(AND(AC43="",AD43=""),"",N(AC43)+N(AD43))</f>
        <v/>
      </c>
      <c r="AF43" s="22" t="n"/>
      <c r="AG43" s="24" t="n"/>
      <c r="AH43" s="23" t="n"/>
      <c r="AI43" s="24" t="n"/>
      <c r="AJ43" s="24" t="n"/>
      <c r="AK43" s="23" t="n"/>
      <c r="AL43" s="26">
        <f>IFERROR(IF(W43="","",VLOOKUP(W43,WOTable,2,FALSE)),"")</f>
        <v/>
      </c>
      <c r="AN43" s="22" t="n"/>
      <c r="AO43" s="23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5">
        <f>IF(AND(AV43="",AW43=""),"",N(AV43)+N(AW43))</f>
        <v/>
      </c>
      <c r="AY43" s="22" t="n"/>
      <c r="AZ43" s="24" t="n"/>
      <c r="BA43" s="23" t="n"/>
      <c r="BB43" s="24" t="n"/>
      <c r="BC43" s="24" t="n"/>
      <c r="BD43" s="23" t="n"/>
      <c r="BE43" s="26">
        <f>IFERROR(IF(AP43="","",VLOOKUP(AP43,WOTable,2,FALSE)),"")</f>
        <v/>
      </c>
      <c r="BG43" s="22" t="n"/>
      <c r="BH43" s="23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5">
        <f>IF(AND(BO43="",BP43=""),"",N(BO43)+N(BP43))</f>
        <v/>
      </c>
      <c r="BR43" s="22" t="n"/>
      <c r="BS43" s="24" t="n"/>
      <c r="BT43" s="23" t="n"/>
      <c r="BU43" s="24" t="n"/>
      <c r="BV43" s="24" t="n"/>
      <c r="BW43" s="23" t="n"/>
      <c r="BX43" s="26">
        <f>IFERROR(IF(BI43="","",VLOOKUP(BI43,WOTable,2,FALSE)),"")</f>
        <v/>
      </c>
    </row>
    <row r="44" ht="28" customHeight="1">
      <c r="B44" s="22" t="n"/>
      <c r="C44" s="23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7">
        <f>IF(AND(J44="",K44=""),"",N(J44)+N(K44))</f>
        <v/>
      </c>
      <c r="M44" s="22" t="n"/>
      <c r="N44" s="24" t="n"/>
      <c r="O44" s="23" t="n"/>
      <c r="P44" s="24" t="n"/>
      <c r="Q44" s="24" t="n"/>
      <c r="R44" s="23" t="n"/>
      <c r="S44" s="26">
        <f>IFERROR(IF(D44="","",VLOOKUP(D44,WOTable,2,FALSE)),"")</f>
        <v/>
      </c>
      <c r="U44" s="22" t="n"/>
      <c r="V44" s="23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7">
        <f>IF(AND(AC44="",AD44=""),"",N(AC44)+N(AD44))</f>
        <v/>
      </c>
      <c r="AF44" s="22" t="n"/>
      <c r="AG44" s="24" t="n"/>
      <c r="AH44" s="23" t="n"/>
      <c r="AI44" s="24" t="n"/>
      <c r="AJ44" s="24" t="n"/>
      <c r="AK44" s="23" t="n"/>
      <c r="AL44" s="26">
        <f>IFERROR(IF(W44="","",VLOOKUP(W44,WOTable,2,FALSE)),"")</f>
        <v/>
      </c>
      <c r="AN44" s="22" t="n"/>
      <c r="AO44" s="23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7">
        <f>IF(AND(AV44="",AW44=""),"",N(AV44)+N(AW44))</f>
        <v/>
      </c>
      <c r="AY44" s="22" t="n"/>
      <c r="AZ44" s="24" t="n"/>
      <c r="BA44" s="23" t="n"/>
      <c r="BB44" s="24" t="n"/>
      <c r="BC44" s="24" t="n"/>
      <c r="BD44" s="23" t="n"/>
      <c r="BE44" s="26">
        <f>IFERROR(IF(AP44="","",VLOOKUP(AP44,WOTable,2,FALSE)),"")</f>
        <v/>
      </c>
      <c r="BG44" s="22" t="n"/>
      <c r="BH44" s="23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7">
        <f>IF(AND(BO44="",BP44=""),"",N(BO44)+N(BP44))</f>
        <v/>
      </c>
      <c r="BR44" s="22" t="n"/>
      <c r="BS44" s="24" t="n"/>
      <c r="BT44" s="23" t="n"/>
      <c r="BU44" s="24" t="n"/>
      <c r="BV44" s="24" t="n"/>
      <c r="BW44" s="23" t="n"/>
      <c r="BX44" s="26">
        <f>IFERROR(IF(BI44="","",VLOOKUP(BI44,WOTable,2,FALSE)),"")</f>
        <v/>
      </c>
    </row>
    <row r="45" ht="28" customHeight="1">
      <c r="B45" s="22" t="n"/>
      <c r="C45" s="23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5">
        <f>IF(AND(J45="",K45=""),"",N(J45)+N(K45))</f>
        <v/>
      </c>
      <c r="M45" s="22" t="n"/>
      <c r="N45" s="24" t="n"/>
      <c r="O45" s="23" t="n"/>
      <c r="P45" s="24" t="n"/>
      <c r="Q45" s="24" t="n"/>
      <c r="R45" s="23" t="n"/>
      <c r="S45" s="26">
        <f>IFERROR(IF(D45="","",VLOOKUP(D45,WOTable,2,FALSE)),"")</f>
        <v/>
      </c>
      <c r="U45" s="22" t="n"/>
      <c r="V45" s="23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5">
        <f>IF(AND(AC45="",AD45=""),"",N(AC45)+N(AD45))</f>
        <v/>
      </c>
      <c r="AF45" s="22" t="n"/>
      <c r="AG45" s="24" t="n"/>
      <c r="AH45" s="23" t="n"/>
      <c r="AI45" s="24" t="n"/>
      <c r="AJ45" s="24" t="n"/>
      <c r="AK45" s="23" t="n"/>
      <c r="AL45" s="26">
        <f>IFERROR(IF(W45="","",VLOOKUP(W45,WOTable,2,FALSE)),"")</f>
        <v/>
      </c>
      <c r="AN45" s="22" t="n"/>
      <c r="AO45" s="23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5">
        <f>IF(AND(AV45="",AW45=""),"",N(AV45)+N(AW45))</f>
        <v/>
      </c>
      <c r="AY45" s="22" t="n"/>
      <c r="AZ45" s="24" t="n"/>
      <c r="BA45" s="23" t="n"/>
      <c r="BB45" s="24" t="n"/>
      <c r="BC45" s="24" t="n"/>
      <c r="BD45" s="23" t="n"/>
      <c r="BE45" s="26">
        <f>IFERROR(IF(AP45="","",VLOOKUP(AP45,WOTable,2,FALSE)),"")</f>
        <v/>
      </c>
      <c r="BG45" s="22" t="n"/>
      <c r="BH45" s="23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5">
        <f>IF(AND(BO45="",BP45=""),"",N(BO45)+N(BP45))</f>
        <v/>
      </c>
      <c r="BR45" s="22" t="n"/>
      <c r="BS45" s="24" t="n"/>
      <c r="BT45" s="23" t="n"/>
      <c r="BU45" s="24" t="n"/>
      <c r="BV45" s="24" t="n"/>
      <c r="BW45" s="23" t="n"/>
      <c r="BX45" s="26">
        <f>IFERROR(IF(BI45="","",VLOOKUP(BI45,WOTable,2,FALSE)),"")</f>
        <v/>
      </c>
    </row>
    <row r="46" ht="28" customHeight="1">
      <c r="B46" s="22" t="n"/>
      <c r="C46" s="23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7">
        <f>IF(AND(J46="",K46=""),"",N(J46)+N(K46))</f>
        <v/>
      </c>
      <c r="M46" s="22" t="n"/>
      <c r="N46" s="24" t="n"/>
      <c r="O46" s="23" t="n"/>
      <c r="P46" s="24" t="n"/>
      <c r="Q46" s="24" t="n"/>
      <c r="R46" s="23" t="n"/>
      <c r="S46" s="26">
        <f>IFERROR(IF(D46="","",VLOOKUP(D46,WOTable,2,FALSE)),"")</f>
        <v/>
      </c>
      <c r="U46" s="22" t="n"/>
      <c r="V46" s="23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7">
        <f>IF(AND(AC46="",AD46=""),"",N(AC46)+N(AD46))</f>
        <v/>
      </c>
      <c r="AF46" s="22" t="n"/>
      <c r="AG46" s="24" t="n"/>
      <c r="AH46" s="23" t="n"/>
      <c r="AI46" s="24" t="n"/>
      <c r="AJ46" s="24" t="n"/>
      <c r="AK46" s="23" t="n"/>
      <c r="AL46" s="26">
        <f>IFERROR(IF(W46="","",VLOOKUP(W46,WOTable,2,FALSE)),"")</f>
        <v/>
      </c>
      <c r="AN46" s="22" t="n"/>
      <c r="AO46" s="23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7">
        <f>IF(AND(AV46="",AW46=""),"",N(AV46)+N(AW46))</f>
        <v/>
      </c>
      <c r="AY46" s="22" t="n"/>
      <c r="AZ46" s="24" t="n"/>
      <c r="BA46" s="23" t="n"/>
      <c r="BB46" s="24" t="n"/>
      <c r="BC46" s="24" t="n"/>
      <c r="BD46" s="23" t="n"/>
      <c r="BE46" s="26">
        <f>IFERROR(IF(AP46="","",VLOOKUP(AP46,WOTable,2,FALSE)),"")</f>
        <v/>
      </c>
      <c r="BG46" s="22" t="n"/>
      <c r="BH46" s="23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7">
        <f>IF(AND(BO46="",BP46=""),"",N(BO46)+N(BP46))</f>
        <v/>
      </c>
      <c r="BR46" s="22" t="n"/>
      <c r="BS46" s="24" t="n"/>
      <c r="BT46" s="23" t="n"/>
      <c r="BU46" s="24" t="n"/>
      <c r="BV46" s="24" t="n"/>
      <c r="BW46" s="23" t="n"/>
      <c r="BX46" s="26">
        <f>IFERROR(IF(BI46="","",VLOOKUP(BI46,WOTable,2,FALSE)),"")</f>
        <v/>
      </c>
    </row>
    <row r="47" ht="28" customHeight="1">
      <c r="B47" s="22" t="n"/>
      <c r="C47" s="23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5">
        <f>IF(AND(J47="",K47=""),"",N(J47)+N(K47))</f>
        <v/>
      </c>
      <c r="M47" s="22" t="n"/>
      <c r="N47" s="24" t="n"/>
      <c r="O47" s="23" t="n"/>
      <c r="P47" s="24" t="n"/>
      <c r="Q47" s="24" t="n"/>
      <c r="R47" s="23" t="n"/>
      <c r="S47" s="26">
        <f>IFERROR(IF(D47="","",VLOOKUP(D47,WOTable,2,FALSE)),"")</f>
        <v/>
      </c>
      <c r="U47" s="22" t="n"/>
      <c r="V47" s="23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5">
        <f>IF(AND(AC47="",AD47=""),"",N(AC47)+N(AD47))</f>
        <v/>
      </c>
      <c r="AF47" s="22" t="n"/>
      <c r="AG47" s="24" t="n"/>
      <c r="AH47" s="23" t="n"/>
      <c r="AI47" s="24" t="n"/>
      <c r="AJ47" s="24" t="n"/>
      <c r="AK47" s="23" t="n"/>
      <c r="AL47" s="26">
        <f>IFERROR(IF(W47="","",VLOOKUP(W47,WOTable,2,FALSE)),"")</f>
        <v/>
      </c>
      <c r="AN47" s="22" t="n"/>
      <c r="AO47" s="23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5">
        <f>IF(AND(AV47="",AW47=""),"",N(AV47)+N(AW47))</f>
        <v/>
      </c>
      <c r="AY47" s="22" t="n"/>
      <c r="AZ47" s="24" t="n"/>
      <c r="BA47" s="23" t="n"/>
      <c r="BB47" s="24" t="n"/>
      <c r="BC47" s="24" t="n"/>
      <c r="BD47" s="23" t="n"/>
      <c r="BE47" s="26">
        <f>IFERROR(IF(AP47="","",VLOOKUP(AP47,WOTable,2,FALSE)),"")</f>
        <v/>
      </c>
      <c r="BG47" s="22" t="n"/>
      <c r="BH47" s="23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5">
        <f>IF(AND(BO47="",BP47=""),"",N(BO47)+N(BP47))</f>
        <v/>
      </c>
      <c r="BR47" s="22" t="n"/>
      <c r="BS47" s="24" t="n"/>
      <c r="BT47" s="23" t="n"/>
      <c r="BU47" s="24" t="n"/>
      <c r="BV47" s="24" t="n"/>
      <c r="BW47" s="23" t="n"/>
      <c r="BX47" s="26">
        <f>IFERROR(IF(BI47="","",VLOOKUP(BI47,WOTable,2,FALSE)),"")</f>
        <v/>
      </c>
    </row>
    <row r="48" ht="28" customHeight="1">
      <c r="B48" s="22" t="n"/>
      <c r="C48" s="23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7">
        <f>IF(AND(J48="",K48=""),"",N(J48)+N(K48))</f>
        <v/>
      </c>
      <c r="M48" s="22" t="n"/>
      <c r="N48" s="24" t="n"/>
      <c r="O48" s="23" t="n"/>
      <c r="P48" s="24" t="n"/>
      <c r="Q48" s="24" t="n"/>
      <c r="R48" s="23" t="n"/>
      <c r="S48" s="26">
        <f>IFERROR(IF(D48="","",VLOOKUP(D48,WOTable,2,FALSE)),"")</f>
        <v/>
      </c>
      <c r="U48" s="22" t="n"/>
      <c r="V48" s="23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7">
        <f>IF(AND(AC48="",AD48=""),"",N(AC48)+N(AD48))</f>
        <v/>
      </c>
      <c r="AF48" s="22" t="n"/>
      <c r="AG48" s="24" t="n"/>
      <c r="AH48" s="23" t="n"/>
      <c r="AI48" s="24" t="n"/>
      <c r="AJ48" s="24" t="n"/>
      <c r="AK48" s="23" t="n"/>
      <c r="AL48" s="26">
        <f>IFERROR(IF(W48="","",VLOOKUP(W48,WOTable,2,FALSE)),"")</f>
        <v/>
      </c>
      <c r="AN48" s="22" t="n"/>
      <c r="AO48" s="23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7">
        <f>IF(AND(AV48="",AW48=""),"",N(AV48)+N(AW48))</f>
        <v/>
      </c>
      <c r="AY48" s="22" t="n"/>
      <c r="AZ48" s="24" t="n"/>
      <c r="BA48" s="23" t="n"/>
      <c r="BB48" s="24" t="n"/>
      <c r="BC48" s="24" t="n"/>
      <c r="BD48" s="23" t="n"/>
      <c r="BE48" s="26">
        <f>IFERROR(IF(AP48="","",VLOOKUP(AP48,WOTable,2,FALSE)),"")</f>
        <v/>
      </c>
      <c r="BG48" s="22" t="n"/>
      <c r="BH48" s="23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7">
        <f>IF(AND(BO48="",BP48=""),"",N(BO48)+N(BP48))</f>
        <v/>
      </c>
      <c r="BR48" s="22" t="n"/>
      <c r="BS48" s="24" t="n"/>
      <c r="BT48" s="23" t="n"/>
      <c r="BU48" s="24" t="n"/>
      <c r="BV48" s="24" t="n"/>
      <c r="BW48" s="23" t="n"/>
      <c r="BX48" s="26">
        <f>IFERROR(IF(BI48="","",VLOOKUP(BI48,WOTable,2,FALSE)),"")</f>
        <v/>
      </c>
    </row>
  </sheetData>
  <mergeCells count="22">
    <mergeCell ref="J6:L6"/>
    <mergeCell ref="AO17:AP17"/>
    <mergeCell ref="V17:W17"/>
    <mergeCell ref="B9:N9"/>
    <mergeCell ref="D3:J3"/>
    <mergeCell ref="B15:E15"/>
    <mergeCell ref="E6:G6"/>
    <mergeCell ref="J7:L7"/>
    <mergeCell ref="B5:N5"/>
    <mergeCell ref="H6:I6"/>
    <mergeCell ref="E7:G7"/>
    <mergeCell ref="B6:D6"/>
    <mergeCell ref="BH17:BI17"/>
    <mergeCell ref="B12:E12"/>
    <mergeCell ref="H7:I7"/>
    <mergeCell ref="B11:E11"/>
    <mergeCell ref="D2:J2"/>
    <mergeCell ref="B7:D7"/>
    <mergeCell ref="C17:D17"/>
    <mergeCell ref="B14:E14"/>
    <mergeCell ref="B13:E13"/>
    <mergeCell ref="B10:E10"/>
  </mergeCells>
  <conditionalFormatting sqref="B19:B48">
    <cfRule type="expression" priority="1" dxfId="0">
      <formula>AND(B19&lt;&gt;"",COUNTIF(EmpNames,B19)=0)</formula>
    </cfRule>
  </conditionalFormatting>
  <conditionalFormatting sqref="C19:C48">
    <cfRule type="expression" priority="2" dxfId="0">
      <formula>AND(C19&lt;&gt;"",COUNTIF(TradeNames,C19)=0)</formula>
    </cfRule>
  </conditionalFormatting>
  <conditionalFormatting sqref="D19:D48">
    <cfRule type="expression" priority="3" dxfId="0">
      <formula>AND(D19&lt;&gt;"",COUNTIF(WONames,D19)=0)</formula>
    </cfRule>
  </conditionalFormatting>
  <conditionalFormatting sqref="U19:U48">
    <cfRule type="expression" priority="4" dxfId="0">
      <formula>AND(U19&lt;&gt;"",COUNTIF(EmpNames,U19)=0)</formula>
    </cfRule>
  </conditionalFormatting>
  <conditionalFormatting sqref="V19:V48">
    <cfRule type="expression" priority="5" dxfId="0">
      <formula>AND(V19&lt;&gt;"",COUNTIF(TradeNames,V19)=0)</formula>
    </cfRule>
  </conditionalFormatting>
  <conditionalFormatting sqref="W19:W48">
    <cfRule type="expression" priority="6" dxfId="0">
      <formula>AND(W19&lt;&gt;"",COUNTIF(WONames,W19)=0)</formula>
    </cfRule>
  </conditionalFormatting>
  <conditionalFormatting sqref="AN19:AN48">
    <cfRule type="expression" priority="7" dxfId="0">
      <formula>AND(AN19&lt;&gt;"",COUNTIF(EmpNames,AN19)=0)</formula>
    </cfRule>
  </conditionalFormatting>
  <conditionalFormatting sqref="AO19:AO48">
    <cfRule type="expression" priority="8" dxfId="0">
      <formula>AND(AO19&lt;&gt;"",COUNTIF(TradeNames,AO19)=0)</formula>
    </cfRule>
  </conditionalFormatting>
  <conditionalFormatting sqref="AP19:AP48">
    <cfRule type="expression" priority="9" dxfId="0">
      <formula>AND(AP19&lt;&gt;"",COUNTIF(WONames,AP19)=0)</formula>
    </cfRule>
  </conditionalFormatting>
  <conditionalFormatting sqref="BG19:BG48">
    <cfRule type="expression" priority="10" dxfId="0">
      <formula>AND(BG19&lt;&gt;"",COUNTIF(EmpNames,BG19)=0)</formula>
    </cfRule>
  </conditionalFormatting>
  <conditionalFormatting sqref="BH19:BH48">
    <cfRule type="expression" priority="11" dxfId="0">
      <formula>AND(BH19&lt;&gt;"",COUNTIF(TradeNames,BH19)=0)</formula>
    </cfRule>
  </conditionalFormatting>
  <conditionalFormatting sqref="BI19:BI48">
    <cfRule type="expression" priority="12" dxfId="0">
      <formula>AND(BI19&lt;&gt;"",COUNTIF(WONames,BI19)=0)</formula>
    </cfRule>
  </conditionalFormatting>
  <dataValidations count="994">
    <dataValidation sqref="B7" showDropDown="0" showInputMessage="0" showErrorMessage="0" allowBlank="1" type="list">
      <formula1>=VendorNames</formula1>
    </dataValidation>
    <dataValidation sqref="H7" showDropDown="0" showInputMessage="0" showErrorMessage="0" allowBlank="1" type="list">
      <formula1>=ShiftList</formula1>
    </dataValidation>
    <dataValidation sqref="C17" showDropDown="0" showInputMessage="0" showErrorMessage="0" allowBlank="1" type="list">
      <formula1>=PONames</formula1>
    </dataValidation>
    <dataValidation sqref="E19" showDropDown="0" showInputMessage="0" showErrorMessage="0" allowBlank="1" type="list">
      <formula1>=INDIRECT("WO_"&amp;$D19)</formula1>
    </dataValidation>
    <dataValidation sqref="F19" showDropDown="0" showInputMessage="0" showErrorMessage="0" allowBlank="1" type="list">
      <formula1>=INDIRECT("WO_"&amp;$D19)</formula1>
    </dataValidation>
    <dataValidation sqref="G19" showDropDown="0" showInputMessage="0" showErrorMessage="0" allowBlank="1" type="list">
      <formula1>=INDIRECT("WO_"&amp;$D19)</formula1>
    </dataValidation>
    <dataValidation sqref="H19" showDropDown="0" showInputMessage="0" showErrorMessage="0" allowBlank="1" type="list">
      <formula1>=INDIRECT("WO_"&amp;$D19)</formula1>
    </dataValidation>
    <dataValidation sqref="I19" showDropDown="0" showInputMessage="0" showErrorMessage="0" allowBlank="1" type="list">
      <formula1>=INDIRECT("WO_"&amp;$D19)</formula1>
    </dataValidation>
    <dataValidation sqref="J19" showDropDown="0" showInputMessage="0" showErrorMessage="1" allowBlank="1" errorTitle="Invalid hours" error="Enter 0 or more." type="decimal" operator="greaterThanOrEqual">
      <formula1>0</formula1>
    </dataValidation>
    <dataValidation sqref="K19" showDropDown="0" showInputMessage="0" showErrorMessage="1" allowBlank="1" errorTitle="Invalid hours" error="Enter 0 or more." type="decimal" operator="greaterThanOrEqual">
      <formula1>0</formula1>
    </dataValidation>
    <dataValidation sqref="N19" showDropDown="0" showInputMessage="0" showErrorMessage="1" allowBlank="1" errorTitle="Invalid hours" error="Enter 0 or more." type="decimal" operator="greaterThanOrEqual">
      <formula1>0</formula1>
    </dataValidation>
    <dataValidation sqref="E20" showDropDown="0" showInputMessage="0" showErrorMessage="0" allowBlank="1" type="list">
      <formula1>=INDIRECT("WO_"&amp;$D20)</formula1>
    </dataValidation>
    <dataValidation sqref="F20" showDropDown="0" showInputMessage="0" showErrorMessage="0" allowBlank="1" type="list">
      <formula1>=INDIRECT("WO_"&amp;$D20)</formula1>
    </dataValidation>
    <dataValidation sqref="G20" showDropDown="0" showInputMessage="0" showErrorMessage="0" allowBlank="1" type="list">
      <formula1>=INDIRECT("WO_"&amp;$D20)</formula1>
    </dataValidation>
    <dataValidation sqref="H20" showDropDown="0" showInputMessage="0" showErrorMessage="0" allowBlank="1" type="list">
      <formula1>=INDIRECT("WO_"&amp;$D20)</formula1>
    </dataValidation>
    <dataValidation sqref="I20" showDropDown="0" showInputMessage="0" showErrorMessage="0" allowBlank="1" type="list">
      <formula1>=INDIRECT("WO_"&amp;$D20)</formula1>
    </dataValidation>
    <dataValidation sqref="J20" showDropDown="0" showInputMessage="0" showErrorMessage="1" allowBlank="1" errorTitle="Invalid hours" error="Enter 0 or more." type="decimal" operator="greaterThanOrEqual">
      <formula1>0</formula1>
    </dataValidation>
    <dataValidation sqref="K20" showDropDown="0" showInputMessage="0" showErrorMessage="1" allowBlank="1" errorTitle="Invalid hours" error="Enter 0 or more." type="decimal" operator="greaterThanOrEqual">
      <formula1>0</formula1>
    </dataValidation>
    <dataValidation sqref="N20" showDropDown="0" showInputMessage="0" showErrorMessage="1" allowBlank="1" errorTitle="Invalid hours" error="Enter 0 or more." type="decimal" operator="greaterThanOrEqual">
      <formula1>0</formula1>
    </dataValidation>
    <dataValidation sqref="E21" showDropDown="0" showInputMessage="0" showErrorMessage="0" allowBlank="1" type="list">
      <formula1>=INDIRECT("WO_"&amp;$D21)</formula1>
    </dataValidation>
    <dataValidation sqref="F21" showDropDown="0" showInputMessage="0" showErrorMessage="0" allowBlank="1" type="list">
      <formula1>=INDIRECT("WO_"&amp;$D21)</formula1>
    </dataValidation>
    <dataValidation sqref="G21" showDropDown="0" showInputMessage="0" showErrorMessage="0" allowBlank="1" type="list">
      <formula1>=INDIRECT("WO_"&amp;$D21)</formula1>
    </dataValidation>
    <dataValidation sqref="H21" showDropDown="0" showInputMessage="0" showErrorMessage="0" allowBlank="1" type="list">
      <formula1>=INDIRECT("WO_"&amp;$D21)</formula1>
    </dataValidation>
    <dataValidation sqref="I21" showDropDown="0" showInputMessage="0" showErrorMessage="0" allowBlank="1" type="list">
      <formula1>=INDIRECT("WO_"&amp;$D21)</formula1>
    </dataValidation>
    <dataValidation sqref="J21" showDropDown="0" showInputMessage="0" showErrorMessage="1" allowBlank="1" errorTitle="Invalid hours" error="Enter 0 or more." type="decimal" operator="greaterThanOrEqual">
      <formula1>0</formula1>
    </dataValidation>
    <dataValidation sqref="K21" showDropDown="0" showInputMessage="0" showErrorMessage="1" allowBlank="1" errorTitle="Invalid hours" error="Enter 0 or more." type="decimal" operator="greaterThanOrEqual">
      <formula1>0</formula1>
    </dataValidation>
    <dataValidation sqref="N21" showDropDown="0" showInputMessage="0" showErrorMessage="1" allowBlank="1" errorTitle="Invalid hours" error="Enter 0 or more." type="decimal" operator="greaterThanOrEqual">
      <formula1>0</formula1>
    </dataValidation>
    <dataValidation sqref="E22" showDropDown="0" showInputMessage="0" showErrorMessage="0" allowBlank="1" type="list">
      <formula1>=INDIRECT("WO_"&amp;$D22)</formula1>
    </dataValidation>
    <dataValidation sqref="F22" showDropDown="0" showInputMessage="0" showErrorMessage="0" allowBlank="1" type="list">
      <formula1>=INDIRECT("WO_"&amp;$D22)</formula1>
    </dataValidation>
    <dataValidation sqref="G22" showDropDown="0" showInputMessage="0" showErrorMessage="0" allowBlank="1" type="list">
      <formula1>=INDIRECT("WO_"&amp;$D22)</formula1>
    </dataValidation>
    <dataValidation sqref="H22" showDropDown="0" showInputMessage="0" showErrorMessage="0" allowBlank="1" type="list">
      <formula1>=INDIRECT("WO_"&amp;$D22)</formula1>
    </dataValidation>
    <dataValidation sqref="I22" showDropDown="0" showInputMessage="0" showErrorMessage="0" allowBlank="1" type="list">
      <formula1>=INDIRECT("WO_"&amp;$D22)</formula1>
    </dataValidation>
    <dataValidation sqref="J22" showDropDown="0" showInputMessage="0" showErrorMessage="1" allowBlank="1" errorTitle="Invalid hours" error="Enter 0 or more." type="decimal" operator="greaterThanOrEqual">
      <formula1>0</formula1>
    </dataValidation>
    <dataValidation sqref="K22" showDropDown="0" showInputMessage="0" showErrorMessage="1" allowBlank="1" errorTitle="Invalid hours" error="Enter 0 or more." type="decimal" operator="greaterThanOrEqual">
      <formula1>0</formula1>
    </dataValidation>
    <dataValidation sqref="N22" showDropDown="0" showInputMessage="0" showErrorMessage="1" allowBlank="1" errorTitle="Invalid hours" error="Enter 0 or more." type="decimal" operator="greaterThanOrEqual">
      <formula1>0</formula1>
    </dataValidation>
    <dataValidation sqref="E23" showDropDown="0" showInputMessage="0" showErrorMessage="0" allowBlank="1" type="list">
      <formula1>=INDIRECT("WO_"&amp;$D23)</formula1>
    </dataValidation>
    <dataValidation sqref="F23" showDropDown="0" showInputMessage="0" showErrorMessage="0" allowBlank="1" type="list">
      <formula1>=INDIRECT("WO_"&amp;$D23)</formula1>
    </dataValidation>
    <dataValidation sqref="G23" showDropDown="0" showInputMessage="0" showErrorMessage="0" allowBlank="1" type="list">
      <formula1>=INDIRECT("WO_"&amp;$D23)</formula1>
    </dataValidation>
    <dataValidation sqref="H23" showDropDown="0" showInputMessage="0" showErrorMessage="0" allowBlank="1" type="list">
      <formula1>=INDIRECT("WO_"&amp;$D23)</formula1>
    </dataValidation>
    <dataValidation sqref="I23" showDropDown="0" showInputMessage="0" showErrorMessage="0" allowBlank="1" type="list">
      <formula1>=INDIRECT("WO_"&amp;$D23)</formula1>
    </dataValidation>
    <dataValidation sqref="J23" showDropDown="0" showInputMessage="0" showErrorMessage="1" allowBlank="1" errorTitle="Invalid hours" error="Enter 0 or more." type="decimal" operator="greaterThanOrEqual">
      <formula1>0</formula1>
    </dataValidation>
    <dataValidation sqref="K23" showDropDown="0" showInputMessage="0" showErrorMessage="1" allowBlank="1" errorTitle="Invalid hours" error="Enter 0 or more." type="decimal" operator="greaterThanOrEqual">
      <formula1>0</formula1>
    </dataValidation>
    <dataValidation sqref="N23" showDropDown="0" showInputMessage="0" showErrorMessage="1" allowBlank="1" errorTitle="Invalid hours" error="Enter 0 or more." type="decimal" operator="greaterThanOrEqual">
      <formula1>0</formula1>
    </dataValidation>
    <dataValidation sqref="E24" showDropDown="0" showInputMessage="0" showErrorMessage="0" allowBlank="1" type="list">
      <formula1>=INDIRECT("WO_"&amp;$D24)</formula1>
    </dataValidation>
    <dataValidation sqref="F24" showDropDown="0" showInputMessage="0" showErrorMessage="0" allowBlank="1" type="list">
      <formula1>=INDIRECT("WO_"&amp;$D24)</formula1>
    </dataValidation>
    <dataValidation sqref="G24" showDropDown="0" showInputMessage="0" showErrorMessage="0" allowBlank="1" type="list">
      <formula1>=INDIRECT("WO_"&amp;$D24)</formula1>
    </dataValidation>
    <dataValidation sqref="H24" showDropDown="0" showInputMessage="0" showErrorMessage="0" allowBlank="1" type="list">
      <formula1>=INDIRECT("WO_"&amp;$D24)</formula1>
    </dataValidation>
    <dataValidation sqref="I24" showDropDown="0" showInputMessage="0" showErrorMessage="0" allowBlank="1" type="list">
      <formula1>=INDIRECT("WO_"&amp;$D24)</formula1>
    </dataValidation>
    <dataValidation sqref="J24" showDropDown="0" showInputMessage="0" showErrorMessage="1" allowBlank="1" errorTitle="Invalid hours" error="Enter 0 or more." type="decimal" operator="greaterThanOrEqual">
      <formula1>0</formula1>
    </dataValidation>
    <dataValidation sqref="K24" showDropDown="0" showInputMessage="0" showErrorMessage="1" allowBlank="1" errorTitle="Invalid hours" error="Enter 0 or more." type="decimal" operator="greaterThanOrEqual">
      <formula1>0</formula1>
    </dataValidation>
    <dataValidation sqref="N24" showDropDown="0" showInputMessage="0" showErrorMessage="1" allowBlank="1" errorTitle="Invalid hours" error="Enter 0 or more." type="decimal" operator="greaterThanOrEqual">
      <formula1>0</formula1>
    </dataValidation>
    <dataValidation sqref="E25" showDropDown="0" showInputMessage="0" showErrorMessage="0" allowBlank="1" type="list">
      <formula1>=INDIRECT("WO_"&amp;$D25)</formula1>
    </dataValidation>
    <dataValidation sqref="F25" showDropDown="0" showInputMessage="0" showErrorMessage="0" allowBlank="1" type="list">
      <formula1>=INDIRECT("WO_"&amp;$D25)</formula1>
    </dataValidation>
    <dataValidation sqref="G25" showDropDown="0" showInputMessage="0" showErrorMessage="0" allowBlank="1" type="list">
      <formula1>=INDIRECT("WO_"&amp;$D25)</formula1>
    </dataValidation>
    <dataValidation sqref="H25" showDropDown="0" showInputMessage="0" showErrorMessage="0" allowBlank="1" type="list">
      <formula1>=INDIRECT("WO_"&amp;$D25)</formula1>
    </dataValidation>
    <dataValidation sqref="I25" showDropDown="0" showInputMessage="0" showErrorMessage="0" allowBlank="1" type="list">
      <formula1>=INDIRECT("WO_"&amp;$D25)</formula1>
    </dataValidation>
    <dataValidation sqref="J25" showDropDown="0" showInputMessage="0" showErrorMessage="1" allowBlank="1" errorTitle="Invalid hours" error="Enter 0 or more." type="decimal" operator="greaterThanOrEqual">
      <formula1>0</formula1>
    </dataValidation>
    <dataValidation sqref="K25" showDropDown="0" showInputMessage="0" showErrorMessage="1" allowBlank="1" errorTitle="Invalid hours" error="Enter 0 or more." type="decimal" operator="greaterThanOrEqual">
      <formula1>0</formula1>
    </dataValidation>
    <dataValidation sqref="N25" showDropDown="0" showInputMessage="0" showErrorMessage="1" allowBlank="1" errorTitle="Invalid hours" error="Enter 0 or more." type="decimal" operator="greaterThanOrEqual">
      <formula1>0</formula1>
    </dataValidation>
    <dataValidation sqref="E26" showDropDown="0" showInputMessage="0" showErrorMessage="0" allowBlank="1" type="list">
      <formula1>=INDIRECT("WO_"&amp;$D26)</formula1>
    </dataValidation>
    <dataValidation sqref="F26" showDropDown="0" showInputMessage="0" showErrorMessage="0" allowBlank="1" type="list">
      <formula1>=INDIRECT("WO_"&amp;$D26)</formula1>
    </dataValidation>
    <dataValidation sqref="G26" showDropDown="0" showInputMessage="0" showErrorMessage="0" allowBlank="1" type="list">
      <formula1>=INDIRECT("WO_"&amp;$D26)</formula1>
    </dataValidation>
    <dataValidation sqref="H26" showDropDown="0" showInputMessage="0" showErrorMessage="0" allowBlank="1" type="list">
      <formula1>=INDIRECT("WO_"&amp;$D26)</formula1>
    </dataValidation>
    <dataValidation sqref="I26" showDropDown="0" showInputMessage="0" showErrorMessage="0" allowBlank="1" type="list">
      <formula1>=INDIRECT("WO_"&amp;$D26)</formula1>
    </dataValidation>
    <dataValidation sqref="J26" showDropDown="0" showInputMessage="0" showErrorMessage="1" allowBlank="1" errorTitle="Invalid hours" error="Enter 0 or more." type="decimal" operator="greaterThanOrEqual">
      <formula1>0</formula1>
    </dataValidation>
    <dataValidation sqref="K26" showDropDown="0" showInputMessage="0" showErrorMessage="1" allowBlank="1" errorTitle="Invalid hours" error="Enter 0 or more." type="decimal" operator="greaterThanOrEqual">
      <formula1>0</formula1>
    </dataValidation>
    <dataValidation sqref="N26" showDropDown="0" showInputMessage="0" showErrorMessage="1" allowBlank="1" errorTitle="Invalid hours" error="Enter 0 or more." type="decimal" operator="greaterThanOrEqual">
      <formula1>0</formula1>
    </dataValidation>
    <dataValidation sqref="E27" showDropDown="0" showInputMessage="0" showErrorMessage="0" allowBlank="1" type="list">
      <formula1>=INDIRECT("WO_"&amp;$D27)</formula1>
    </dataValidation>
    <dataValidation sqref="F27" showDropDown="0" showInputMessage="0" showErrorMessage="0" allowBlank="1" type="list">
      <formula1>=INDIRECT("WO_"&amp;$D27)</formula1>
    </dataValidation>
    <dataValidation sqref="G27" showDropDown="0" showInputMessage="0" showErrorMessage="0" allowBlank="1" type="list">
      <formula1>=INDIRECT("WO_"&amp;$D27)</formula1>
    </dataValidation>
    <dataValidation sqref="H27" showDropDown="0" showInputMessage="0" showErrorMessage="0" allowBlank="1" type="list">
      <formula1>=INDIRECT("WO_"&amp;$D27)</formula1>
    </dataValidation>
    <dataValidation sqref="I27" showDropDown="0" showInputMessage="0" showErrorMessage="0" allowBlank="1" type="list">
      <formula1>=INDIRECT("WO_"&amp;$D27)</formula1>
    </dataValidation>
    <dataValidation sqref="J27" showDropDown="0" showInputMessage="0" showErrorMessage="1" allowBlank="1" errorTitle="Invalid hours" error="Enter 0 or more." type="decimal" operator="greaterThanOrEqual">
      <formula1>0</formula1>
    </dataValidation>
    <dataValidation sqref="K27" showDropDown="0" showInputMessage="0" showErrorMessage="1" allowBlank="1" errorTitle="Invalid hours" error="Enter 0 or more." type="decimal" operator="greaterThanOrEqual">
      <formula1>0</formula1>
    </dataValidation>
    <dataValidation sqref="N27" showDropDown="0" showInputMessage="0" showErrorMessage="1" allowBlank="1" errorTitle="Invalid hours" error="Enter 0 or more." type="decimal" operator="greaterThanOrEqual">
      <formula1>0</formula1>
    </dataValidation>
    <dataValidation sqref="E28" showDropDown="0" showInputMessage="0" showErrorMessage="0" allowBlank="1" type="list">
      <formula1>=INDIRECT("WO_"&amp;$D28)</formula1>
    </dataValidation>
    <dataValidation sqref="F28" showDropDown="0" showInputMessage="0" showErrorMessage="0" allowBlank="1" type="list">
      <formula1>=INDIRECT("WO_"&amp;$D28)</formula1>
    </dataValidation>
    <dataValidation sqref="G28" showDropDown="0" showInputMessage="0" showErrorMessage="0" allowBlank="1" type="list">
      <formula1>=INDIRECT("WO_"&amp;$D28)</formula1>
    </dataValidation>
    <dataValidation sqref="H28" showDropDown="0" showInputMessage="0" showErrorMessage="0" allowBlank="1" type="list">
      <formula1>=INDIRECT("WO_"&amp;$D28)</formula1>
    </dataValidation>
    <dataValidation sqref="I28" showDropDown="0" showInputMessage="0" showErrorMessage="0" allowBlank="1" type="list">
      <formula1>=INDIRECT("WO_"&amp;$D28)</formula1>
    </dataValidation>
    <dataValidation sqref="J28" showDropDown="0" showInputMessage="0" showErrorMessage="1" allowBlank="1" errorTitle="Invalid hours" error="Enter 0 or more." type="decimal" operator="greaterThanOrEqual">
      <formula1>0</formula1>
    </dataValidation>
    <dataValidation sqref="K28" showDropDown="0" showInputMessage="0" showErrorMessage="1" allowBlank="1" errorTitle="Invalid hours" error="Enter 0 or more." type="decimal" operator="greaterThanOrEqual">
      <formula1>0</formula1>
    </dataValidation>
    <dataValidation sqref="N28" showDropDown="0" showInputMessage="0" showErrorMessage="1" allowBlank="1" errorTitle="Invalid hours" error="Enter 0 or more." type="decimal" operator="greaterThanOrEqual">
      <formula1>0</formula1>
    </dataValidation>
    <dataValidation sqref="E29" showDropDown="0" showInputMessage="0" showErrorMessage="0" allowBlank="1" type="list">
      <formula1>=INDIRECT("WO_"&amp;$D29)</formula1>
    </dataValidation>
    <dataValidation sqref="F29" showDropDown="0" showInputMessage="0" showErrorMessage="0" allowBlank="1" type="list">
      <formula1>=INDIRECT("WO_"&amp;$D29)</formula1>
    </dataValidation>
    <dataValidation sqref="G29" showDropDown="0" showInputMessage="0" showErrorMessage="0" allowBlank="1" type="list">
      <formula1>=INDIRECT("WO_"&amp;$D29)</formula1>
    </dataValidation>
    <dataValidation sqref="H29" showDropDown="0" showInputMessage="0" showErrorMessage="0" allowBlank="1" type="list">
      <formula1>=INDIRECT("WO_"&amp;$D29)</formula1>
    </dataValidation>
    <dataValidation sqref="I29" showDropDown="0" showInputMessage="0" showErrorMessage="0" allowBlank="1" type="list">
      <formula1>=INDIRECT("WO_"&amp;$D29)</formula1>
    </dataValidation>
    <dataValidation sqref="J29" showDropDown="0" showInputMessage="0" showErrorMessage="1" allowBlank="1" errorTitle="Invalid hours" error="Enter 0 or more." type="decimal" operator="greaterThanOrEqual">
      <formula1>0</formula1>
    </dataValidation>
    <dataValidation sqref="K29" showDropDown="0" showInputMessage="0" showErrorMessage="1" allowBlank="1" errorTitle="Invalid hours" error="Enter 0 or more." type="decimal" operator="greaterThanOrEqual">
      <formula1>0</formula1>
    </dataValidation>
    <dataValidation sqref="N29" showDropDown="0" showInputMessage="0" showErrorMessage="1" allowBlank="1" errorTitle="Invalid hours" error="Enter 0 or more." type="decimal" operator="greaterThanOrEqual">
      <formula1>0</formula1>
    </dataValidation>
    <dataValidation sqref="E30" showDropDown="0" showInputMessage="0" showErrorMessage="0" allowBlank="1" type="list">
      <formula1>=INDIRECT("WO_"&amp;$D30)</formula1>
    </dataValidation>
    <dataValidation sqref="F30" showDropDown="0" showInputMessage="0" showErrorMessage="0" allowBlank="1" type="list">
      <formula1>=INDIRECT("WO_"&amp;$D30)</formula1>
    </dataValidation>
    <dataValidation sqref="G30" showDropDown="0" showInputMessage="0" showErrorMessage="0" allowBlank="1" type="list">
      <formula1>=INDIRECT("WO_"&amp;$D30)</formula1>
    </dataValidation>
    <dataValidation sqref="H30" showDropDown="0" showInputMessage="0" showErrorMessage="0" allowBlank="1" type="list">
      <formula1>=INDIRECT("WO_"&amp;$D30)</formula1>
    </dataValidation>
    <dataValidation sqref="I30" showDropDown="0" showInputMessage="0" showErrorMessage="0" allowBlank="1" type="list">
      <formula1>=INDIRECT("WO_"&amp;$D30)</formula1>
    </dataValidation>
    <dataValidation sqref="J30" showDropDown="0" showInputMessage="0" showErrorMessage="1" allowBlank="1" errorTitle="Invalid hours" error="Enter 0 or more." type="decimal" operator="greaterThanOrEqual">
      <formula1>0</formula1>
    </dataValidation>
    <dataValidation sqref="K30" showDropDown="0" showInputMessage="0" showErrorMessage="1" allowBlank="1" errorTitle="Invalid hours" error="Enter 0 or more." type="decimal" operator="greaterThanOrEqual">
      <formula1>0</formula1>
    </dataValidation>
    <dataValidation sqref="N30" showDropDown="0" showInputMessage="0" showErrorMessage="1" allowBlank="1" errorTitle="Invalid hours" error="Enter 0 or more." type="decimal" operator="greaterThanOrEqual">
      <formula1>0</formula1>
    </dataValidation>
    <dataValidation sqref="E31" showDropDown="0" showInputMessage="0" showErrorMessage="0" allowBlank="1" type="list">
      <formula1>=INDIRECT("WO_"&amp;$D31)</formula1>
    </dataValidation>
    <dataValidation sqref="F31" showDropDown="0" showInputMessage="0" showErrorMessage="0" allowBlank="1" type="list">
      <formula1>=INDIRECT("WO_"&amp;$D31)</formula1>
    </dataValidation>
    <dataValidation sqref="G31" showDropDown="0" showInputMessage="0" showErrorMessage="0" allowBlank="1" type="list">
      <formula1>=INDIRECT("WO_"&amp;$D31)</formula1>
    </dataValidation>
    <dataValidation sqref="H31" showDropDown="0" showInputMessage="0" showErrorMessage="0" allowBlank="1" type="list">
      <formula1>=INDIRECT("WO_"&amp;$D31)</formula1>
    </dataValidation>
    <dataValidation sqref="I31" showDropDown="0" showInputMessage="0" showErrorMessage="0" allowBlank="1" type="list">
      <formula1>=INDIRECT("WO_"&amp;$D31)</formula1>
    </dataValidation>
    <dataValidation sqref="J31" showDropDown="0" showInputMessage="0" showErrorMessage="1" allowBlank="1" errorTitle="Invalid hours" error="Enter 0 or more." type="decimal" operator="greaterThanOrEqual">
      <formula1>0</formula1>
    </dataValidation>
    <dataValidation sqref="K31" showDropDown="0" showInputMessage="0" showErrorMessage="1" allowBlank="1" errorTitle="Invalid hours" error="Enter 0 or more." type="decimal" operator="greaterThanOrEqual">
      <formula1>0</formula1>
    </dataValidation>
    <dataValidation sqref="N31" showDropDown="0" showInputMessage="0" showErrorMessage="1" allowBlank="1" errorTitle="Invalid hours" error="Enter 0 or more." type="decimal" operator="greaterThanOrEqual">
      <formula1>0</formula1>
    </dataValidation>
    <dataValidation sqref="E32" showDropDown="0" showInputMessage="0" showErrorMessage="0" allowBlank="1" type="list">
      <formula1>=INDIRECT("WO_"&amp;$D32)</formula1>
    </dataValidation>
    <dataValidation sqref="F32" showDropDown="0" showInputMessage="0" showErrorMessage="0" allowBlank="1" type="list">
      <formula1>=INDIRECT("WO_"&amp;$D32)</formula1>
    </dataValidation>
    <dataValidation sqref="G32" showDropDown="0" showInputMessage="0" showErrorMessage="0" allowBlank="1" type="list">
      <formula1>=INDIRECT("WO_"&amp;$D32)</formula1>
    </dataValidation>
    <dataValidation sqref="H32" showDropDown="0" showInputMessage="0" showErrorMessage="0" allowBlank="1" type="list">
      <formula1>=INDIRECT("WO_"&amp;$D32)</formula1>
    </dataValidation>
    <dataValidation sqref="I32" showDropDown="0" showInputMessage="0" showErrorMessage="0" allowBlank="1" type="list">
      <formula1>=INDIRECT("WO_"&amp;$D32)</formula1>
    </dataValidation>
    <dataValidation sqref="J32" showDropDown="0" showInputMessage="0" showErrorMessage="1" allowBlank="1" errorTitle="Invalid hours" error="Enter 0 or more." type="decimal" operator="greaterThanOrEqual">
      <formula1>0</formula1>
    </dataValidation>
    <dataValidation sqref="K32" showDropDown="0" showInputMessage="0" showErrorMessage="1" allowBlank="1" errorTitle="Invalid hours" error="Enter 0 or more." type="decimal" operator="greaterThanOrEqual">
      <formula1>0</formula1>
    </dataValidation>
    <dataValidation sqref="N32" showDropDown="0" showInputMessage="0" showErrorMessage="1" allowBlank="1" errorTitle="Invalid hours" error="Enter 0 or more." type="decimal" operator="greaterThanOrEqual">
      <formula1>0</formula1>
    </dataValidation>
    <dataValidation sqref="E33" showDropDown="0" showInputMessage="0" showErrorMessage="0" allowBlank="1" type="list">
      <formula1>=INDIRECT("WO_"&amp;$D33)</formula1>
    </dataValidation>
    <dataValidation sqref="F33" showDropDown="0" showInputMessage="0" showErrorMessage="0" allowBlank="1" type="list">
      <formula1>=INDIRECT("WO_"&amp;$D33)</formula1>
    </dataValidation>
    <dataValidation sqref="G33" showDropDown="0" showInputMessage="0" showErrorMessage="0" allowBlank="1" type="list">
      <formula1>=INDIRECT("WO_"&amp;$D33)</formula1>
    </dataValidation>
    <dataValidation sqref="H33" showDropDown="0" showInputMessage="0" showErrorMessage="0" allowBlank="1" type="list">
      <formula1>=INDIRECT("WO_"&amp;$D33)</formula1>
    </dataValidation>
    <dataValidation sqref="I33" showDropDown="0" showInputMessage="0" showErrorMessage="0" allowBlank="1" type="list">
      <formula1>=INDIRECT("WO_"&amp;$D33)</formula1>
    </dataValidation>
    <dataValidation sqref="J33" showDropDown="0" showInputMessage="0" showErrorMessage="1" allowBlank="1" errorTitle="Invalid hours" error="Enter 0 or more." type="decimal" operator="greaterThanOrEqual">
      <formula1>0</formula1>
    </dataValidation>
    <dataValidation sqref="K33" showDropDown="0" showInputMessage="0" showErrorMessage="1" allowBlank="1" errorTitle="Invalid hours" error="Enter 0 or more." type="decimal" operator="greaterThanOrEqual">
      <formula1>0</formula1>
    </dataValidation>
    <dataValidation sqref="N33" showDropDown="0" showInputMessage="0" showErrorMessage="1" allowBlank="1" errorTitle="Invalid hours" error="Enter 0 or more." type="decimal" operator="greaterThanOrEqual">
      <formula1>0</formula1>
    </dataValidation>
    <dataValidation sqref="E34" showDropDown="0" showInputMessage="0" showErrorMessage="0" allowBlank="1" type="list">
      <formula1>=INDIRECT("WO_"&amp;$D34)</formula1>
    </dataValidation>
    <dataValidation sqref="F34" showDropDown="0" showInputMessage="0" showErrorMessage="0" allowBlank="1" type="list">
      <formula1>=INDIRECT("WO_"&amp;$D34)</formula1>
    </dataValidation>
    <dataValidation sqref="G34" showDropDown="0" showInputMessage="0" showErrorMessage="0" allowBlank="1" type="list">
      <formula1>=INDIRECT("WO_"&amp;$D34)</formula1>
    </dataValidation>
    <dataValidation sqref="H34" showDropDown="0" showInputMessage="0" showErrorMessage="0" allowBlank="1" type="list">
      <formula1>=INDIRECT("WO_"&amp;$D34)</formula1>
    </dataValidation>
    <dataValidation sqref="I34" showDropDown="0" showInputMessage="0" showErrorMessage="0" allowBlank="1" type="list">
      <formula1>=INDIRECT("WO_"&amp;$D34)</formula1>
    </dataValidation>
    <dataValidation sqref="J34" showDropDown="0" showInputMessage="0" showErrorMessage="1" allowBlank="1" errorTitle="Invalid hours" error="Enter 0 or more." type="decimal" operator="greaterThanOrEqual">
      <formula1>0</formula1>
    </dataValidation>
    <dataValidation sqref="K34" showDropDown="0" showInputMessage="0" showErrorMessage="1" allowBlank="1" errorTitle="Invalid hours" error="Enter 0 or more." type="decimal" operator="greaterThanOrEqual">
      <formula1>0</formula1>
    </dataValidation>
    <dataValidation sqref="N34" showDropDown="0" showInputMessage="0" showErrorMessage="1" allowBlank="1" errorTitle="Invalid hours" error="Enter 0 or more." type="decimal" operator="greaterThanOrEqual">
      <formula1>0</formula1>
    </dataValidation>
    <dataValidation sqref="E35" showDropDown="0" showInputMessage="0" showErrorMessage="0" allowBlank="1" type="list">
      <formula1>=INDIRECT("WO_"&amp;$D35)</formula1>
    </dataValidation>
    <dataValidation sqref="F35" showDropDown="0" showInputMessage="0" showErrorMessage="0" allowBlank="1" type="list">
      <formula1>=INDIRECT("WO_"&amp;$D35)</formula1>
    </dataValidation>
    <dataValidation sqref="G35" showDropDown="0" showInputMessage="0" showErrorMessage="0" allowBlank="1" type="list">
      <formula1>=INDIRECT("WO_"&amp;$D35)</formula1>
    </dataValidation>
    <dataValidation sqref="H35" showDropDown="0" showInputMessage="0" showErrorMessage="0" allowBlank="1" type="list">
      <formula1>=INDIRECT("WO_"&amp;$D35)</formula1>
    </dataValidation>
    <dataValidation sqref="I35" showDropDown="0" showInputMessage="0" showErrorMessage="0" allowBlank="1" type="list">
      <formula1>=INDIRECT("WO_"&amp;$D35)</formula1>
    </dataValidation>
    <dataValidation sqref="J35" showDropDown="0" showInputMessage="0" showErrorMessage="1" allowBlank="1" errorTitle="Invalid hours" error="Enter 0 or more." type="decimal" operator="greaterThanOrEqual">
      <formula1>0</formula1>
    </dataValidation>
    <dataValidation sqref="K35" showDropDown="0" showInputMessage="0" showErrorMessage="1" allowBlank="1" errorTitle="Invalid hours" error="Enter 0 or more." type="decimal" operator="greaterThanOrEqual">
      <formula1>0</formula1>
    </dataValidation>
    <dataValidation sqref="N35" showDropDown="0" showInputMessage="0" showErrorMessage="1" allowBlank="1" errorTitle="Invalid hours" error="Enter 0 or more." type="decimal" operator="greaterThanOrEqual">
      <formula1>0</formula1>
    </dataValidation>
    <dataValidation sqref="E36" showDropDown="0" showInputMessage="0" showErrorMessage="0" allowBlank="1" type="list">
      <formula1>=INDIRECT("WO_"&amp;$D36)</formula1>
    </dataValidation>
    <dataValidation sqref="F36" showDropDown="0" showInputMessage="0" showErrorMessage="0" allowBlank="1" type="list">
      <formula1>=INDIRECT("WO_"&amp;$D36)</formula1>
    </dataValidation>
    <dataValidation sqref="G36" showDropDown="0" showInputMessage="0" showErrorMessage="0" allowBlank="1" type="list">
      <formula1>=INDIRECT("WO_"&amp;$D36)</formula1>
    </dataValidation>
    <dataValidation sqref="H36" showDropDown="0" showInputMessage="0" showErrorMessage="0" allowBlank="1" type="list">
      <formula1>=INDIRECT("WO_"&amp;$D36)</formula1>
    </dataValidation>
    <dataValidation sqref="I36" showDropDown="0" showInputMessage="0" showErrorMessage="0" allowBlank="1" type="list">
      <formula1>=INDIRECT("WO_"&amp;$D36)</formula1>
    </dataValidation>
    <dataValidation sqref="J36" showDropDown="0" showInputMessage="0" showErrorMessage="1" allowBlank="1" errorTitle="Invalid hours" error="Enter 0 or more." type="decimal" operator="greaterThanOrEqual">
      <formula1>0</formula1>
    </dataValidation>
    <dataValidation sqref="K36" showDropDown="0" showInputMessage="0" showErrorMessage="1" allowBlank="1" errorTitle="Invalid hours" error="Enter 0 or more." type="decimal" operator="greaterThanOrEqual">
      <formula1>0</formula1>
    </dataValidation>
    <dataValidation sqref="N36" showDropDown="0" showInputMessage="0" showErrorMessage="1" allowBlank="1" errorTitle="Invalid hours" error="Enter 0 or more." type="decimal" operator="greaterThanOrEqual">
      <formula1>0</formula1>
    </dataValidation>
    <dataValidation sqref="E37" showDropDown="0" showInputMessage="0" showErrorMessage="0" allowBlank="1" type="list">
      <formula1>=INDIRECT("WO_"&amp;$D37)</formula1>
    </dataValidation>
    <dataValidation sqref="F37" showDropDown="0" showInputMessage="0" showErrorMessage="0" allowBlank="1" type="list">
      <formula1>=INDIRECT("WO_"&amp;$D37)</formula1>
    </dataValidation>
    <dataValidation sqref="G37" showDropDown="0" showInputMessage="0" showErrorMessage="0" allowBlank="1" type="list">
      <formula1>=INDIRECT("WO_"&amp;$D37)</formula1>
    </dataValidation>
    <dataValidation sqref="H37" showDropDown="0" showInputMessage="0" showErrorMessage="0" allowBlank="1" type="list">
      <formula1>=INDIRECT("WO_"&amp;$D37)</formula1>
    </dataValidation>
    <dataValidation sqref="I37" showDropDown="0" showInputMessage="0" showErrorMessage="0" allowBlank="1" type="list">
      <formula1>=INDIRECT("WO_"&amp;$D37)</formula1>
    </dataValidation>
    <dataValidation sqref="J37" showDropDown="0" showInputMessage="0" showErrorMessage="1" allowBlank="1" errorTitle="Invalid hours" error="Enter 0 or more." type="decimal" operator="greaterThanOrEqual">
      <formula1>0</formula1>
    </dataValidation>
    <dataValidation sqref="K37" showDropDown="0" showInputMessage="0" showErrorMessage="1" allowBlank="1" errorTitle="Invalid hours" error="Enter 0 or more." type="decimal" operator="greaterThanOrEqual">
      <formula1>0</formula1>
    </dataValidation>
    <dataValidation sqref="N37" showDropDown="0" showInputMessage="0" showErrorMessage="1" allowBlank="1" errorTitle="Invalid hours" error="Enter 0 or more." type="decimal" operator="greaterThanOrEqual">
      <formula1>0</formula1>
    </dataValidation>
    <dataValidation sqref="E38" showDropDown="0" showInputMessage="0" showErrorMessage="0" allowBlank="1" type="list">
      <formula1>=INDIRECT("WO_"&amp;$D38)</formula1>
    </dataValidation>
    <dataValidation sqref="F38" showDropDown="0" showInputMessage="0" showErrorMessage="0" allowBlank="1" type="list">
      <formula1>=INDIRECT("WO_"&amp;$D38)</formula1>
    </dataValidation>
    <dataValidation sqref="G38" showDropDown="0" showInputMessage="0" showErrorMessage="0" allowBlank="1" type="list">
      <formula1>=INDIRECT("WO_"&amp;$D38)</formula1>
    </dataValidation>
    <dataValidation sqref="H38" showDropDown="0" showInputMessage="0" showErrorMessage="0" allowBlank="1" type="list">
      <formula1>=INDIRECT("WO_"&amp;$D38)</formula1>
    </dataValidation>
    <dataValidation sqref="I38" showDropDown="0" showInputMessage="0" showErrorMessage="0" allowBlank="1" type="list">
      <formula1>=INDIRECT("WO_"&amp;$D38)</formula1>
    </dataValidation>
    <dataValidation sqref="J38" showDropDown="0" showInputMessage="0" showErrorMessage="1" allowBlank="1" errorTitle="Invalid hours" error="Enter 0 or more." type="decimal" operator="greaterThanOrEqual">
      <formula1>0</formula1>
    </dataValidation>
    <dataValidation sqref="K38" showDropDown="0" showInputMessage="0" showErrorMessage="1" allowBlank="1" errorTitle="Invalid hours" error="Enter 0 or more." type="decimal" operator="greaterThanOrEqual">
      <formula1>0</formula1>
    </dataValidation>
    <dataValidation sqref="N38" showDropDown="0" showInputMessage="0" showErrorMessage="1" allowBlank="1" errorTitle="Invalid hours" error="Enter 0 or more." type="decimal" operator="greaterThanOrEqual">
      <formula1>0</formula1>
    </dataValidation>
    <dataValidation sqref="E39" showDropDown="0" showInputMessage="0" showErrorMessage="0" allowBlank="1" type="list">
      <formula1>=INDIRECT("WO_"&amp;$D39)</formula1>
    </dataValidation>
    <dataValidation sqref="F39" showDropDown="0" showInputMessage="0" showErrorMessage="0" allowBlank="1" type="list">
      <formula1>=INDIRECT("WO_"&amp;$D39)</formula1>
    </dataValidation>
    <dataValidation sqref="G39" showDropDown="0" showInputMessage="0" showErrorMessage="0" allowBlank="1" type="list">
      <formula1>=INDIRECT("WO_"&amp;$D39)</formula1>
    </dataValidation>
    <dataValidation sqref="H39" showDropDown="0" showInputMessage="0" showErrorMessage="0" allowBlank="1" type="list">
      <formula1>=INDIRECT("WO_"&amp;$D39)</formula1>
    </dataValidation>
    <dataValidation sqref="I39" showDropDown="0" showInputMessage="0" showErrorMessage="0" allowBlank="1" type="list">
      <formula1>=INDIRECT("WO_"&amp;$D39)</formula1>
    </dataValidation>
    <dataValidation sqref="J39" showDropDown="0" showInputMessage="0" showErrorMessage="1" allowBlank="1" errorTitle="Invalid hours" error="Enter 0 or more." type="decimal" operator="greaterThanOrEqual">
      <formula1>0</formula1>
    </dataValidation>
    <dataValidation sqref="K39" showDropDown="0" showInputMessage="0" showErrorMessage="1" allowBlank="1" errorTitle="Invalid hours" error="Enter 0 or more." type="decimal" operator="greaterThanOrEqual">
      <formula1>0</formula1>
    </dataValidation>
    <dataValidation sqref="N39" showDropDown="0" showInputMessage="0" showErrorMessage="1" allowBlank="1" errorTitle="Invalid hours" error="Enter 0 or more." type="decimal" operator="greaterThanOrEqual">
      <formula1>0</formula1>
    </dataValidation>
    <dataValidation sqref="E40" showDropDown="0" showInputMessage="0" showErrorMessage="0" allowBlank="1" type="list">
      <formula1>=INDIRECT("WO_"&amp;$D40)</formula1>
    </dataValidation>
    <dataValidation sqref="F40" showDropDown="0" showInputMessage="0" showErrorMessage="0" allowBlank="1" type="list">
      <formula1>=INDIRECT("WO_"&amp;$D40)</formula1>
    </dataValidation>
    <dataValidation sqref="G40" showDropDown="0" showInputMessage="0" showErrorMessage="0" allowBlank="1" type="list">
      <formula1>=INDIRECT("WO_"&amp;$D40)</formula1>
    </dataValidation>
    <dataValidation sqref="H40" showDropDown="0" showInputMessage="0" showErrorMessage="0" allowBlank="1" type="list">
      <formula1>=INDIRECT("WO_"&amp;$D40)</formula1>
    </dataValidation>
    <dataValidation sqref="I40" showDropDown="0" showInputMessage="0" showErrorMessage="0" allowBlank="1" type="list">
      <formula1>=INDIRECT("WO_"&amp;$D40)</formula1>
    </dataValidation>
    <dataValidation sqref="J40" showDropDown="0" showInputMessage="0" showErrorMessage="1" allowBlank="1" errorTitle="Invalid hours" error="Enter 0 or more." type="decimal" operator="greaterThanOrEqual">
      <formula1>0</formula1>
    </dataValidation>
    <dataValidation sqref="K40" showDropDown="0" showInputMessage="0" showErrorMessage="1" allowBlank="1" errorTitle="Invalid hours" error="Enter 0 or more." type="decimal" operator="greaterThanOrEqual">
      <formula1>0</formula1>
    </dataValidation>
    <dataValidation sqref="N40" showDropDown="0" showInputMessage="0" showErrorMessage="1" allowBlank="1" errorTitle="Invalid hours" error="Enter 0 or more." type="decimal" operator="greaterThanOrEqual">
      <formula1>0</formula1>
    </dataValidation>
    <dataValidation sqref="E41" showDropDown="0" showInputMessage="0" showErrorMessage="0" allowBlank="1" type="list">
      <formula1>=INDIRECT("WO_"&amp;$D41)</formula1>
    </dataValidation>
    <dataValidation sqref="F41" showDropDown="0" showInputMessage="0" showErrorMessage="0" allowBlank="1" type="list">
      <formula1>=INDIRECT("WO_"&amp;$D41)</formula1>
    </dataValidation>
    <dataValidation sqref="G41" showDropDown="0" showInputMessage="0" showErrorMessage="0" allowBlank="1" type="list">
      <formula1>=INDIRECT("WO_"&amp;$D41)</formula1>
    </dataValidation>
    <dataValidation sqref="H41" showDropDown="0" showInputMessage="0" showErrorMessage="0" allowBlank="1" type="list">
      <formula1>=INDIRECT("WO_"&amp;$D41)</formula1>
    </dataValidation>
    <dataValidation sqref="I41" showDropDown="0" showInputMessage="0" showErrorMessage="0" allowBlank="1" type="list">
      <formula1>=INDIRECT("WO_"&amp;$D41)</formula1>
    </dataValidation>
    <dataValidation sqref="J41" showDropDown="0" showInputMessage="0" showErrorMessage="1" allowBlank="1" errorTitle="Invalid hours" error="Enter 0 or more." type="decimal" operator="greaterThanOrEqual">
      <formula1>0</formula1>
    </dataValidation>
    <dataValidation sqref="K41" showDropDown="0" showInputMessage="0" showErrorMessage="1" allowBlank="1" errorTitle="Invalid hours" error="Enter 0 or more." type="decimal" operator="greaterThanOrEqual">
      <formula1>0</formula1>
    </dataValidation>
    <dataValidation sqref="N41" showDropDown="0" showInputMessage="0" showErrorMessage="1" allowBlank="1" errorTitle="Invalid hours" error="Enter 0 or more." type="decimal" operator="greaterThanOrEqual">
      <formula1>0</formula1>
    </dataValidation>
    <dataValidation sqref="E42" showDropDown="0" showInputMessage="0" showErrorMessage="0" allowBlank="1" type="list">
      <formula1>=INDIRECT("WO_"&amp;$D42)</formula1>
    </dataValidation>
    <dataValidation sqref="F42" showDropDown="0" showInputMessage="0" showErrorMessage="0" allowBlank="1" type="list">
      <formula1>=INDIRECT("WO_"&amp;$D42)</formula1>
    </dataValidation>
    <dataValidation sqref="G42" showDropDown="0" showInputMessage="0" showErrorMessage="0" allowBlank="1" type="list">
      <formula1>=INDIRECT("WO_"&amp;$D42)</formula1>
    </dataValidation>
    <dataValidation sqref="H42" showDropDown="0" showInputMessage="0" showErrorMessage="0" allowBlank="1" type="list">
      <formula1>=INDIRECT("WO_"&amp;$D42)</formula1>
    </dataValidation>
    <dataValidation sqref="I42" showDropDown="0" showInputMessage="0" showErrorMessage="0" allowBlank="1" type="list">
      <formula1>=INDIRECT("WO_"&amp;$D42)</formula1>
    </dataValidation>
    <dataValidation sqref="J42" showDropDown="0" showInputMessage="0" showErrorMessage="1" allowBlank="1" errorTitle="Invalid hours" error="Enter 0 or more." type="decimal" operator="greaterThanOrEqual">
      <formula1>0</formula1>
    </dataValidation>
    <dataValidation sqref="K42" showDropDown="0" showInputMessage="0" showErrorMessage="1" allowBlank="1" errorTitle="Invalid hours" error="Enter 0 or more." type="decimal" operator="greaterThanOrEqual">
      <formula1>0</formula1>
    </dataValidation>
    <dataValidation sqref="N42" showDropDown="0" showInputMessage="0" showErrorMessage="1" allowBlank="1" errorTitle="Invalid hours" error="Enter 0 or more." type="decimal" operator="greaterThanOrEqual">
      <formula1>0</formula1>
    </dataValidation>
    <dataValidation sqref="E43" showDropDown="0" showInputMessage="0" showErrorMessage="0" allowBlank="1" type="list">
      <formula1>=INDIRECT("WO_"&amp;$D43)</formula1>
    </dataValidation>
    <dataValidation sqref="F43" showDropDown="0" showInputMessage="0" showErrorMessage="0" allowBlank="1" type="list">
      <formula1>=INDIRECT("WO_"&amp;$D43)</formula1>
    </dataValidation>
    <dataValidation sqref="G43" showDropDown="0" showInputMessage="0" showErrorMessage="0" allowBlank="1" type="list">
      <formula1>=INDIRECT("WO_"&amp;$D43)</formula1>
    </dataValidation>
    <dataValidation sqref="H43" showDropDown="0" showInputMessage="0" showErrorMessage="0" allowBlank="1" type="list">
      <formula1>=INDIRECT("WO_"&amp;$D43)</formula1>
    </dataValidation>
    <dataValidation sqref="I43" showDropDown="0" showInputMessage="0" showErrorMessage="0" allowBlank="1" type="list">
      <formula1>=INDIRECT("WO_"&amp;$D43)</formula1>
    </dataValidation>
    <dataValidation sqref="J43" showDropDown="0" showInputMessage="0" showErrorMessage="1" allowBlank="1" errorTitle="Invalid hours" error="Enter 0 or more." type="decimal" operator="greaterThanOrEqual">
      <formula1>0</formula1>
    </dataValidation>
    <dataValidation sqref="K43" showDropDown="0" showInputMessage="0" showErrorMessage="1" allowBlank="1" errorTitle="Invalid hours" error="Enter 0 or more." type="decimal" operator="greaterThanOrEqual">
      <formula1>0</formula1>
    </dataValidation>
    <dataValidation sqref="N43" showDropDown="0" showInputMessage="0" showErrorMessage="1" allowBlank="1" errorTitle="Invalid hours" error="Enter 0 or more." type="decimal" operator="greaterThanOrEqual">
      <formula1>0</formula1>
    </dataValidation>
    <dataValidation sqref="E44" showDropDown="0" showInputMessage="0" showErrorMessage="0" allowBlank="1" type="list">
      <formula1>=INDIRECT("WO_"&amp;$D44)</formula1>
    </dataValidation>
    <dataValidation sqref="F44" showDropDown="0" showInputMessage="0" showErrorMessage="0" allowBlank="1" type="list">
      <formula1>=INDIRECT("WO_"&amp;$D44)</formula1>
    </dataValidation>
    <dataValidation sqref="G44" showDropDown="0" showInputMessage="0" showErrorMessage="0" allowBlank="1" type="list">
      <formula1>=INDIRECT("WO_"&amp;$D44)</formula1>
    </dataValidation>
    <dataValidation sqref="H44" showDropDown="0" showInputMessage="0" showErrorMessage="0" allowBlank="1" type="list">
      <formula1>=INDIRECT("WO_"&amp;$D44)</formula1>
    </dataValidation>
    <dataValidation sqref="I44" showDropDown="0" showInputMessage="0" showErrorMessage="0" allowBlank="1" type="list">
      <formula1>=INDIRECT("WO_"&amp;$D44)</formula1>
    </dataValidation>
    <dataValidation sqref="J44" showDropDown="0" showInputMessage="0" showErrorMessage="1" allowBlank="1" errorTitle="Invalid hours" error="Enter 0 or more." type="decimal" operator="greaterThanOrEqual">
      <formula1>0</formula1>
    </dataValidation>
    <dataValidation sqref="K44" showDropDown="0" showInputMessage="0" showErrorMessage="1" allowBlank="1" errorTitle="Invalid hours" error="Enter 0 or more." type="decimal" operator="greaterThanOrEqual">
      <formula1>0</formula1>
    </dataValidation>
    <dataValidation sqref="N44" showDropDown="0" showInputMessage="0" showErrorMessage="1" allowBlank="1" errorTitle="Invalid hours" error="Enter 0 or more." type="decimal" operator="greaterThanOrEqual">
      <formula1>0</formula1>
    </dataValidation>
    <dataValidation sqref="E45" showDropDown="0" showInputMessage="0" showErrorMessage="0" allowBlank="1" type="list">
      <formula1>=INDIRECT("WO_"&amp;$D45)</formula1>
    </dataValidation>
    <dataValidation sqref="F45" showDropDown="0" showInputMessage="0" showErrorMessage="0" allowBlank="1" type="list">
      <formula1>=INDIRECT("WO_"&amp;$D45)</formula1>
    </dataValidation>
    <dataValidation sqref="G45" showDropDown="0" showInputMessage="0" showErrorMessage="0" allowBlank="1" type="list">
      <formula1>=INDIRECT("WO_"&amp;$D45)</formula1>
    </dataValidation>
    <dataValidation sqref="H45" showDropDown="0" showInputMessage="0" showErrorMessage="0" allowBlank="1" type="list">
      <formula1>=INDIRECT("WO_"&amp;$D45)</formula1>
    </dataValidation>
    <dataValidation sqref="I45" showDropDown="0" showInputMessage="0" showErrorMessage="0" allowBlank="1" type="list">
      <formula1>=INDIRECT("WO_"&amp;$D45)</formula1>
    </dataValidation>
    <dataValidation sqref="J45" showDropDown="0" showInputMessage="0" showErrorMessage="1" allowBlank="1" errorTitle="Invalid hours" error="Enter 0 or more." type="decimal" operator="greaterThanOrEqual">
      <formula1>0</formula1>
    </dataValidation>
    <dataValidation sqref="K45" showDropDown="0" showInputMessage="0" showErrorMessage="1" allowBlank="1" errorTitle="Invalid hours" error="Enter 0 or more." type="decimal" operator="greaterThanOrEqual">
      <formula1>0</formula1>
    </dataValidation>
    <dataValidation sqref="N45" showDropDown="0" showInputMessage="0" showErrorMessage="1" allowBlank="1" errorTitle="Invalid hours" error="Enter 0 or more." type="decimal" operator="greaterThanOrEqual">
      <formula1>0</formula1>
    </dataValidation>
    <dataValidation sqref="E46" showDropDown="0" showInputMessage="0" showErrorMessage="0" allowBlank="1" type="list">
      <formula1>=INDIRECT("WO_"&amp;$D46)</formula1>
    </dataValidation>
    <dataValidation sqref="F46" showDropDown="0" showInputMessage="0" showErrorMessage="0" allowBlank="1" type="list">
      <formula1>=INDIRECT("WO_"&amp;$D46)</formula1>
    </dataValidation>
    <dataValidation sqref="G46" showDropDown="0" showInputMessage="0" showErrorMessage="0" allowBlank="1" type="list">
      <formula1>=INDIRECT("WO_"&amp;$D46)</formula1>
    </dataValidation>
    <dataValidation sqref="H46" showDropDown="0" showInputMessage="0" showErrorMessage="0" allowBlank="1" type="list">
      <formula1>=INDIRECT("WO_"&amp;$D46)</formula1>
    </dataValidation>
    <dataValidation sqref="I46" showDropDown="0" showInputMessage="0" showErrorMessage="0" allowBlank="1" type="list">
      <formula1>=INDIRECT("WO_"&amp;$D46)</formula1>
    </dataValidation>
    <dataValidation sqref="J46" showDropDown="0" showInputMessage="0" showErrorMessage="1" allowBlank="1" errorTitle="Invalid hours" error="Enter 0 or more." type="decimal" operator="greaterThanOrEqual">
      <formula1>0</formula1>
    </dataValidation>
    <dataValidation sqref="K46" showDropDown="0" showInputMessage="0" showErrorMessage="1" allowBlank="1" errorTitle="Invalid hours" error="Enter 0 or more." type="decimal" operator="greaterThanOrEqual">
      <formula1>0</formula1>
    </dataValidation>
    <dataValidation sqref="N46" showDropDown="0" showInputMessage="0" showErrorMessage="1" allowBlank="1" errorTitle="Invalid hours" error="Enter 0 or more." type="decimal" operator="greaterThanOrEqual">
      <formula1>0</formula1>
    </dataValidation>
    <dataValidation sqref="E47" showDropDown="0" showInputMessage="0" showErrorMessage="0" allowBlank="1" type="list">
      <formula1>=INDIRECT("WO_"&amp;$D47)</formula1>
    </dataValidation>
    <dataValidation sqref="F47" showDropDown="0" showInputMessage="0" showErrorMessage="0" allowBlank="1" type="list">
      <formula1>=INDIRECT("WO_"&amp;$D47)</formula1>
    </dataValidation>
    <dataValidation sqref="G47" showDropDown="0" showInputMessage="0" showErrorMessage="0" allowBlank="1" type="list">
      <formula1>=INDIRECT("WO_"&amp;$D47)</formula1>
    </dataValidation>
    <dataValidation sqref="H47" showDropDown="0" showInputMessage="0" showErrorMessage="0" allowBlank="1" type="list">
      <formula1>=INDIRECT("WO_"&amp;$D47)</formula1>
    </dataValidation>
    <dataValidation sqref="I47" showDropDown="0" showInputMessage="0" showErrorMessage="0" allowBlank="1" type="list">
      <formula1>=INDIRECT("WO_"&amp;$D47)</formula1>
    </dataValidation>
    <dataValidation sqref="J47" showDropDown="0" showInputMessage="0" showErrorMessage="1" allowBlank="1" errorTitle="Invalid hours" error="Enter 0 or more." type="decimal" operator="greaterThanOrEqual">
      <formula1>0</formula1>
    </dataValidation>
    <dataValidation sqref="K47" showDropDown="0" showInputMessage="0" showErrorMessage="1" allowBlank="1" errorTitle="Invalid hours" error="Enter 0 or more." type="decimal" operator="greaterThanOrEqual">
      <formula1>0</formula1>
    </dataValidation>
    <dataValidation sqref="N47" showDropDown="0" showInputMessage="0" showErrorMessage="1" allowBlank="1" errorTitle="Invalid hours" error="Enter 0 or more." type="decimal" operator="greaterThanOrEqual">
      <formula1>0</formula1>
    </dataValidation>
    <dataValidation sqref="E48" showDropDown="0" showInputMessage="0" showErrorMessage="0" allowBlank="1" type="list">
      <formula1>=INDIRECT("WO_"&amp;$D48)</formula1>
    </dataValidation>
    <dataValidation sqref="F48" showDropDown="0" showInputMessage="0" showErrorMessage="0" allowBlank="1" type="list">
      <formula1>=INDIRECT("WO_"&amp;$D48)</formula1>
    </dataValidation>
    <dataValidation sqref="G48" showDropDown="0" showInputMessage="0" showErrorMessage="0" allowBlank="1" type="list">
      <formula1>=INDIRECT("WO_"&amp;$D48)</formula1>
    </dataValidation>
    <dataValidation sqref="H48" showDropDown="0" showInputMessage="0" showErrorMessage="0" allowBlank="1" type="list">
      <formula1>=INDIRECT("WO_"&amp;$D48)</formula1>
    </dataValidation>
    <dataValidation sqref="I48" showDropDown="0" showInputMessage="0" showErrorMessage="0" allowBlank="1" type="list">
      <formula1>=INDIRECT("WO_"&amp;$D48)</formula1>
    </dataValidation>
    <dataValidation sqref="J48" showDropDown="0" showInputMessage="0" showErrorMessage="1" allowBlank="1" errorTitle="Invalid hours" error="Enter 0 or more." type="decimal" operator="greaterThanOrEqual">
      <formula1>0</formula1>
    </dataValidation>
    <dataValidation sqref="K48" showDropDown="0" showInputMessage="0" showErrorMessage="1" allowBlank="1" errorTitle="Invalid hours" error="Enter 0 or more." type="decimal" operator="greaterThanOrEqual">
      <formula1>0</formula1>
    </dataValidation>
    <dataValidation sqref="N48" showDropDown="0" showInputMessage="0" showErrorMessage="1" allowBlank="1" errorTitle="Invalid hours" error="Enter 0 or more." type="decimal" operator="greaterThanOrEqual">
      <formula1>0</formula1>
    </dataValidation>
    <dataValidation sqref="B19:B48" showDropDown="0" showInputMessage="0" showErrorMessage="0" allowBlank="1" type="list">
      <formula1>=EmpNames</formula1>
    </dataValidation>
    <dataValidation sqref="C19:C48" showDropDown="0" showInputMessage="0" showErrorMessage="0" allowBlank="1" type="list">
      <formula1>=TradeNames</formula1>
    </dataValidation>
    <dataValidation sqref="D19:D48" showDropDown="0" showInputMessage="0" showErrorMessage="0" allowBlank="1" type="list">
      <formula1>=WONames</formula1>
    </dataValidation>
    <dataValidation sqref="M19:M48" showDropDown="0" showInputMessage="0" showErrorMessage="0" allowBlank="1" type="list">
      <formula1>=LocList</formula1>
    </dataValidation>
    <dataValidation sqref="O19:O48" showDropDown="0" showInputMessage="0" showErrorMessage="0" allowBlank="1" type="list">
      <formula1>=OffsiteCatList</formula1>
    </dataValidation>
    <dataValidation sqref="P19:P48" showDropDown="0" showInputMessage="0" showErrorMessage="0" allowBlank="1" type="list">
      <formula1>=YNList</formula1>
    </dataValidation>
    <dataValidation sqref="Q19:Q48" showDropDown="0" showInputMessage="0" showErrorMessage="0" allowBlank="1" type="list">
      <formula1>=YNList</formula1>
    </dataValidation>
    <dataValidation sqref="V17" showDropDown="0" showInputMessage="0" showErrorMessage="0" allowBlank="1" type="list">
      <formula1>=PONames</formula1>
    </dataValidation>
    <dataValidation sqref="X19" showDropDown="0" showInputMessage="0" showErrorMessage="0" allowBlank="1" type="list">
      <formula1>=INDIRECT("WO_"&amp;$W19)</formula1>
    </dataValidation>
    <dataValidation sqref="Y19" showDropDown="0" showInputMessage="0" showErrorMessage="0" allowBlank="1" type="list">
      <formula1>=INDIRECT("WO_"&amp;$W19)</formula1>
    </dataValidation>
    <dataValidation sqref="Z19" showDropDown="0" showInputMessage="0" showErrorMessage="0" allowBlank="1" type="list">
      <formula1>=INDIRECT("WO_"&amp;$W19)</formula1>
    </dataValidation>
    <dataValidation sqref="AA19" showDropDown="0" showInputMessage="0" showErrorMessage="0" allowBlank="1" type="list">
      <formula1>=INDIRECT("WO_"&amp;$W19)</formula1>
    </dataValidation>
    <dataValidation sqref="AB19" showDropDown="0" showInputMessage="0" showErrorMessage="0" allowBlank="1" type="list">
      <formula1>=INDIRECT("WO_"&amp;$W19)</formula1>
    </dataValidation>
    <dataValidation sqref="AC19" showDropDown="0" showInputMessage="0" showErrorMessage="1" allowBlank="1" errorTitle="Invalid hours" error="Enter 0 or more." type="decimal" operator="greaterThanOrEqual">
      <formula1>0</formula1>
    </dataValidation>
    <dataValidation sqref="AD19" showDropDown="0" showInputMessage="0" showErrorMessage="1" allowBlank="1" errorTitle="Invalid hours" error="Enter 0 or more." type="decimal" operator="greaterThanOrEqual">
      <formula1>0</formula1>
    </dataValidation>
    <dataValidation sqref="AG19" showDropDown="0" showInputMessage="0" showErrorMessage="1" allowBlank="1" errorTitle="Invalid hours" error="Enter 0 or more." type="decimal" operator="greaterThanOrEqual">
      <formula1>0</formula1>
    </dataValidation>
    <dataValidation sqref="X20" showDropDown="0" showInputMessage="0" showErrorMessage="0" allowBlank="1" type="list">
      <formula1>=INDIRECT("WO_"&amp;$W20)</formula1>
    </dataValidation>
    <dataValidation sqref="Y20" showDropDown="0" showInputMessage="0" showErrorMessage="0" allowBlank="1" type="list">
      <formula1>=INDIRECT("WO_"&amp;$W20)</formula1>
    </dataValidation>
    <dataValidation sqref="Z20" showDropDown="0" showInputMessage="0" showErrorMessage="0" allowBlank="1" type="list">
      <formula1>=INDIRECT("WO_"&amp;$W20)</formula1>
    </dataValidation>
    <dataValidation sqref="AA20" showDropDown="0" showInputMessage="0" showErrorMessage="0" allowBlank="1" type="list">
      <formula1>=INDIRECT("WO_"&amp;$W20)</formula1>
    </dataValidation>
    <dataValidation sqref="AB20" showDropDown="0" showInputMessage="0" showErrorMessage="0" allowBlank="1" type="list">
      <formula1>=INDIRECT("WO_"&amp;$W20)</formula1>
    </dataValidation>
    <dataValidation sqref="AC20" showDropDown="0" showInputMessage="0" showErrorMessage="1" allowBlank="1" errorTitle="Invalid hours" error="Enter 0 or more." type="decimal" operator="greaterThanOrEqual">
      <formula1>0</formula1>
    </dataValidation>
    <dataValidation sqref="AD20" showDropDown="0" showInputMessage="0" showErrorMessage="1" allowBlank="1" errorTitle="Invalid hours" error="Enter 0 or more." type="decimal" operator="greaterThanOrEqual">
      <formula1>0</formula1>
    </dataValidation>
    <dataValidation sqref="AG20" showDropDown="0" showInputMessage="0" showErrorMessage="1" allowBlank="1" errorTitle="Invalid hours" error="Enter 0 or more." type="decimal" operator="greaterThanOrEqual">
      <formula1>0</formula1>
    </dataValidation>
    <dataValidation sqref="X21" showDropDown="0" showInputMessage="0" showErrorMessage="0" allowBlank="1" type="list">
      <formula1>=INDIRECT("WO_"&amp;$W21)</formula1>
    </dataValidation>
    <dataValidation sqref="Y21" showDropDown="0" showInputMessage="0" showErrorMessage="0" allowBlank="1" type="list">
      <formula1>=INDIRECT("WO_"&amp;$W21)</formula1>
    </dataValidation>
    <dataValidation sqref="Z21" showDropDown="0" showInputMessage="0" showErrorMessage="0" allowBlank="1" type="list">
      <formula1>=INDIRECT("WO_"&amp;$W21)</formula1>
    </dataValidation>
    <dataValidation sqref="AA21" showDropDown="0" showInputMessage="0" showErrorMessage="0" allowBlank="1" type="list">
      <formula1>=INDIRECT("WO_"&amp;$W21)</formula1>
    </dataValidation>
    <dataValidation sqref="AB21" showDropDown="0" showInputMessage="0" showErrorMessage="0" allowBlank="1" type="list">
      <formula1>=INDIRECT("WO_"&amp;$W21)</formula1>
    </dataValidation>
    <dataValidation sqref="AC21" showDropDown="0" showInputMessage="0" showErrorMessage="1" allowBlank="1" errorTitle="Invalid hours" error="Enter 0 or more." type="decimal" operator="greaterThanOrEqual">
      <formula1>0</formula1>
    </dataValidation>
    <dataValidation sqref="AD21" showDropDown="0" showInputMessage="0" showErrorMessage="1" allowBlank="1" errorTitle="Invalid hours" error="Enter 0 or more." type="decimal" operator="greaterThanOrEqual">
      <formula1>0</formula1>
    </dataValidation>
    <dataValidation sqref="AG21" showDropDown="0" showInputMessage="0" showErrorMessage="1" allowBlank="1" errorTitle="Invalid hours" error="Enter 0 or more." type="decimal" operator="greaterThanOrEqual">
      <formula1>0</formula1>
    </dataValidation>
    <dataValidation sqref="X22" showDropDown="0" showInputMessage="0" showErrorMessage="0" allowBlank="1" type="list">
      <formula1>=INDIRECT("WO_"&amp;$W22)</formula1>
    </dataValidation>
    <dataValidation sqref="Y22" showDropDown="0" showInputMessage="0" showErrorMessage="0" allowBlank="1" type="list">
      <formula1>=INDIRECT("WO_"&amp;$W22)</formula1>
    </dataValidation>
    <dataValidation sqref="Z22" showDropDown="0" showInputMessage="0" showErrorMessage="0" allowBlank="1" type="list">
      <formula1>=INDIRECT("WO_"&amp;$W22)</formula1>
    </dataValidation>
    <dataValidation sqref="AA22" showDropDown="0" showInputMessage="0" showErrorMessage="0" allowBlank="1" type="list">
      <formula1>=INDIRECT("WO_"&amp;$W22)</formula1>
    </dataValidation>
    <dataValidation sqref="AB22" showDropDown="0" showInputMessage="0" showErrorMessage="0" allowBlank="1" type="list">
      <formula1>=INDIRECT("WO_"&amp;$W22)</formula1>
    </dataValidation>
    <dataValidation sqref="AC22" showDropDown="0" showInputMessage="0" showErrorMessage="1" allowBlank="1" errorTitle="Invalid hours" error="Enter 0 or more." type="decimal" operator="greaterThanOrEqual">
      <formula1>0</formula1>
    </dataValidation>
    <dataValidation sqref="AD22" showDropDown="0" showInputMessage="0" showErrorMessage="1" allowBlank="1" errorTitle="Invalid hours" error="Enter 0 or more." type="decimal" operator="greaterThanOrEqual">
      <formula1>0</formula1>
    </dataValidation>
    <dataValidation sqref="AG22" showDropDown="0" showInputMessage="0" showErrorMessage="1" allowBlank="1" errorTitle="Invalid hours" error="Enter 0 or more." type="decimal" operator="greaterThanOrEqual">
      <formula1>0</formula1>
    </dataValidation>
    <dataValidation sqref="X23" showDropDown="0" showInputMessage="0" showErrorMessage="0" allowBlank="1" type="list">
      <formula1>=INDIRECT("WO_"&amp;$W23)</formula1>
    </dataValidation>
    <dataValidation sqref="Y23" showDropDown="0" showInputMessage="0" showErrorMessage="0" allowBlank="1" type="list">
      <formula1>=INDIRECT("WO_"&amp;$W23)</formula1>
    </dataValidation>
    <dataValidation sqref="Z23" showDropDown="0" showInputMessage="0" showErrorMessage="0" allowBlank="1" type="list">
      <formula1>=INDIRECT("WO_"&amp;$W23)</formula1>
    </dataValidation>
    <dataValidation sqref="AA23" showDropDown="0" showInputMessage="0" showErrorMessage="0" allowBlank="1" type="list">
      <formula1>=INDIRECT("WO_"&amp;$W23)</formula1>
    </dataValidation>
    <dataValidation sqref="AB23" showDropDown="0" showInputMessage="0" showErrorMessage="0" allowBlank="1" type="list">
      <formula1>=INDIRECT("WO_"&amp;$W23)</formula1>
    </dataValidation>
    <dataValidation sqref="AC23" showDropDown="0" showInputMessage="0" showErrorMessage="1" allowBlank="1" errorTitle="Invalid hours" error="Enter 0 or more." type="decimal" operator="greaterThanOrEqual">
      <formula1>0</formula1>
    </dataValidation>
    <dataValidation sqref="AD23" showDropDown="0" showInputMessage="0" showErrorMessage="1" allowBlank="1" errorTitle="Invalid hours" error="Enter 0 or more." type="decimal" operator="greaterThanOrEqual">
      <formula1>0</formula1>
    </dataValidation>
    <dataValidation sqref="AG23" showDropDown="0" showInputMessage="0" showErrorMessage="1" allowBlank="1" errorTitle="Invalid hours" error="Enter 0 or more." type="decimal" operator="greaterThanOrEqual">
      <formula1>0</formula1>
    </dataValidation>
    <dataValidation sqref="X24" showDropDown="0" showInputMessage="0" showErrorMessage="0" allowBlank="1" type="list">
      <formula1>=INDIRECT("WO_"&amp;$W24)</formula1>
    </dataValidation>
    <dataValidation sqref="Y24" showDropDown="0" showInputMessage="0" showErrorMessage="0" allowBlank="1" type="list">
      <formula1>=INDIRECT("WO_"&amp;$W24)</formula1>
    </dataValidation>
    <dataValidation sqref="Z24" showDropDown="0" showInputMessage="0" showErrorMessage="0" allowBlank="1" type="list">
      <formula1>=INDIRECT("WO_"&amp;$W24)</formula1>
    </dataValidation>
    <dataValidation sqref="AA24" showDropDown="0" showInputMessage="0" showErrorMessage="0" allowBlank="1" type="list">
      <formula1>=INDIRECT("WO_"&amp;$W24)</formula1>
    </dataValidation>
    <dataValidation sqref="AB24" showDropDown="0" showInputMessage="0" showErrorMessage="0" allowBlank="1" type="list">
      <formula1>=INDIRECT("WO_"&amp;$W24)</formula1>
    </dataValidation>
    <dataValidation sqref="AC24" showDropDown="0" showInputMessage="0" showErrorMessage="1" allowBlank="1" errorTitle="Invalid hours" error="Enter 0 or more." type="decimal" operator="greaterThanOrEqual">
      <formula1>0</formula1>
    </dataValidation>
    <dataValidation sqref="AD24" showDropDown="0" showInputMessage="0" showErrorMessage="1" allowBlank="1" errorTitle="Invalid hours" error="Enter 0 or more." type="decimal" operator="greaterThanOrEqual">
      <formula1>0</formula1>
    </dataValidation>
    <dataValidation sqref="AG24" showDropDown="0" showInputMessage="0" showErrorMessage="1" allowBlank="1" errorTitle="Invalid hours" error="Enter 0 or more." type="decimal" operator="greaterThanOrEqual">
      <formula1>0</formula1>
    </dataValidation>
    <dataValidation sqref="X25" showDropDown="0" showInputMessage="0" showErrorMessage="0" allowBlank="1" type="list">
      <formula1>=INDIRECT("WO_"&amp;$W25)</formula1>
    </dataValidation>
    <dataValidation sqref="Y25" showDropDown="0" showInputMessage="0" showErrorMessage="0" allowBlank="1" type="list">
      <formula1>=INDIRECT("WO_"&amp;$W25)</formula1>
    </dataValidation>
    <dataValidation sqref="Z25" showDropDown="0" showInputMessage="0" showErrorMessage="0" allowBlank="1" type="list">
      <formula1>=INDIRECT("WO_"&amp;$W25)</formula1>
    </dataValidation>
    <dataValidation sqref="AA25" showDropDown="0" showInputMessage="0" showErrorMessage="0" allowBlank="1" type="list">
      <formula1>=INDIRECT("WO_"&amp;$W25)</formula1>
    </dataValidation>
    <dataValidation sqref="AB25" showDropDown="0" showInputMessage="0" showErrorMessage="0" allowBlank="1" type="list">
      <formula1>=INDIRECT("WO_"&amp;$W25)</formula1>
    </dataValidation>
    <dataValidation sqref="AC25" showDropDown="0" showInputMessage="0" showErrorMessage="1" allowBlank="1" errorTitle="Invalid hours" error="Enter 0 or more." type="decimal" operator="greaterThanOrEqual">
      <formula1>0</formula1>
    </dataValidation>
    <dataValidation sqref="AD25" showDropDown="0" showInputMessage="0" showErrorMessage="1" allowBlank="1" errorTitle="Invalid hours" error="Enter 0 or more." type="decimal" operator="greaterThanOrEqual">
      <formula1>0</formula1>
    </dataValidation>
    <dataValidation sqref="AG25" showDropDown="0" showInputMessage="0" showErrorMessage="1" allowBlank="1" errorTitle="Invalid hours" error="Enter 0 or more." type="decimal" operator="greaterThanOrEqual">
      <formula1>0</formula1>
    </dataValidation>
    <dataValidation sqref="X26" showDropDown="0" showInputMessage="0" showErrorMessage="0" allowBlank="1" type="list">
      <formula1>=INDIRECT("WO_"&amp;$W26)</formula1>
    </dataValidation>
    <dataValidation sqref="Y26" showDropDown="0" showInputMessage="0" showErrorMessage="0" allowBlank="1" type="list">
      <formula1>=INDIRECT("WO_"&amp;$W26)</formula1>
    </dataValidation>
    <dataValidation sqref="Z26" showDropDown="0" showInputMessage="0" showErrorMessage="0" allowBlank="1" type="list">
      <formula1>=INDIRECT("WO_"&amp;$W26)</formula1>
    </dataValidation>
    <dataValidation sqref="AA26" showDropDown="0" showInputMessage="0" showErrorMessage="0" allowBlank="1" type="list">
      <formula1>=INDIRECT("WO_"&amp;$W26)</formula1>
    </dataValidation>
    <dataValidation sqref="AB26" showDropDown="0" showInputMessage="0" showErrorMessage="0" allowBlank="1" type="list">
      <formula1>=INDIRECT("WO_"&amp;$W26)</formula1>
    </dataValidation>
    <dataValidation sqref="AC26" showDropDown="0" showInputMessage="0" showErrorMessage="1" allowBlank="1" errorTitle="Invalid hours" error="Enter 0 or more." type="decimal" operator="greaterThanOrEqual">
      <formula1>0</formula1>
    </dataValidation>
    <dataValidation sqref="AD26" showDropDown="0" showInputMessage="0" showErrorMessage="1" allowBlank="1" errorTitle="Invalid hours" error="Enter 0 or more." type="decimal" operator="greaterThanOrEqual">
      <formula1>0</formula1>
    </dataValidation>
    <dataValidation sqref="AG26" showDropDown="0" showInputMessage="0" showErrorMessage="1" allowBlank="1" errorTitle="Invalid hours" error="Enter 0 or more." type="decimal" operator="greaterThanOrEqual">
      <formula1>0</formula1>
    </dataValidation>
    <dataValidation sqref="X27" showDropDown="0" showInputMessage="0" showErrorMessage="0" allowBlank="1" type="list">
      <formula1>=INDIRECT("WO_"&amp;$W27)</formula1>
    </dataValidation>
    <dataValidation sqref="Y27" showDropDown="0" showInputMessage="0" showErrorMessage="0" allowBlank="1" type="list">
      <formula1>=INDIRECT("WO_"&amp;$W27)</formula1>
    </dataValidation>
    <dataValidation sqref="Z27" showDropDown="0" showInputMessage="0" showErrorMessage="0" allowBlank="1" type="list">
      <formula1>=INDIRECT("WO_"&amp;$W27)</formula1>
    </dataValidation>
    <dataValidation sqref="AA27" showDropDown="0" showInputMessage="0" showErrorMessage="0" allowBlank="1" type="list">
      <formula1>=INDIRECT("WO_"&amp;$W27)</formula1>
    </dataValidation>
    <dataValidation sqref="AB27" showDropDown="0" showInputMessage="0" showErrorMessage="0" allowBlank="1" type="list">
      <formula1>=INDIRECT("WO_"&amp;$W27)</formula1>
    </dataValidation>
    <dataValidation sqref="AC27" showDropDown="0" showInputMessage="0" showErrorMessage="1" allowBlank="1" errorTitle="Invalid hours" error="Enter 0 or more." type="decimal" operator="greaterThanOrEqual">
      <formula1>0</formula1>
    </dataValidation>
    <dataValidation sqref="AD27" showDropDown="0" showInputMessage="0" showErrorMessage="1" allowBlank="1" errorTitle="Invalid hours" error="Enter 0 or more." type="decimal" operator="greaterThanOrEqual">
      <formula1>0</formula1>
    </dataValidation>
    <dataValidation sqref="AG27" showDropDown="0" showInputMessage="0" showErrorMessage="1" allowBlank="1" errorTitle="Invalid hours" error="Enter 0 or more." type="decimal" operator="greaterThanOrEqual">
      <formula1>0</formula1>
    </dataValidation>
    <dataValidation sqref="X28" showDropDown="0" showInputMessage="0" showErrorMessage="0" allowBlank="1" type="list">
      <formula1>=INDIRECT("WO_"&amp;$W28)</formula1>
    </dataValidation>
    <dataValidation sqref="Y28" showDropDown="0" showInputMessage="0" showErrorMessage="0" allowBlank="1" type="list">
      <formula1>=INDIRECT("WO_"&amp;$W28)</formula1>
    </dataValidation>
    <dataValidation sqref="Z28" showDropDown="0" showInputMessage="0" showErrorMessage="0" allowBlank="1" type="list">
      <formula1>=INDIRECT("WO_"&amp;$W28)</formula1>
    </dataValidation>
    <dataValidation sqref="AA28" showDropDown="0" showInputMessage="0" showErrorMessage="0" allowBlank="1" type="list">
      <formula1>=INDIRECT("WO_"&amp;$W28)</formula1>
    </dataValidation>
    <dataValidation sqref="AB28" showDropDown="0" showInputMessage="0" showErrorMessage="0" allowBlank="1" type="list">
      <formula1>=INDIRECT("WO_"&amp;$W28)</formula1>
    </dataValidation>
    <dataValidation sqref="AC28" showDropDown="0" showInputMessage="0" showErrorMessage="1" allowBlank="1" errorTitle="Invalid hours" error="Enter 0 or more." type="decimal" operator="greaterThanOrEqual">
      <formula1>0</formula1>
    </dataValidation>
    <dataValidation sqref="AD28" showDropDown="0" showInputMessage="0" showErrorMessage="1" allowBlank="1" errorTitle="Invalid hours" error="Enter 0 or more." type="decimal" operator="greaterThanOrEqual">
      <formula1>0</formula1>
    </dataValidation>
    <dataValidation sqref="AG28" showDropDown="0" showInputMessage="0" showErrorMessage="1" allowBlank="1" errorTitle="Invalid hours" error="Enter 0 or more." type="decimal" operator="greaterThanOrEqual">
      <formula1>0</formula1>
    </dataValidation>
    <dataValidation sqref="X29" showDropDown="0" showInputMessage="0" showErrorMessage="0" allowBlank="1" type="list">
      <formula1>=INDIRECT("WO_"&amp;$W29)</formula1>
    </dataValidation>
    <dataValidation sqref="Y29" showDropDown="0" showInputMessage="0" showErrorMessage="0" allowBlank="1" type="list">
      <formula1>=INDIRECT("WO_"&amp;$W29)</formula1>
    </dataValidation>
    <dataValidation sqref="Z29" showDropDown="0" showInputMessage="0" showErrorMessage="0" allowBlank="1" type="list">
      <formula1>=INDIRECT("WO_"&amp;$W29)</formula1>
    </dataValidation>
    <dataValidation sqref="AA29" showDropDown="0" showInputMessage="0" showErrorMessage="0" allowBlank="1" type="list">
      <formula1>=INDIRECT("WO_"&amp;$W29)</formula1>
    </dataValidation>
    <dataValidation sqref="AB29" showDropDown="0" showInputMessage="0" showErrorMessage="0" allowBlank="1" type="list">
      <formula1>=INDIRECT("WO_"&amp;$W29)</formula1>
    </dataValidation>
    <dataValidation sqref="AC29" showDropDown="0" showInputMessage="0" showErrorMessage="1" allowBlank="1" errorTitle="Invalid hours" error="Enter 0 or more." type="decimal" operator="greaterThanOrEqual">
      <formula1>0</formula1>
    </dataValidation>
    <dataValidation sqref="AD29" showDropDown="0" showInputMessage="0" showErrorMessage="1" allowBlank="1" errorTitle="Invalid hours" error="Enter 0 or more." type="decimal" operator="greaterThanOrEqual">
      <formula1>0</formula1>
    </dataValidation>
    <dataValidation sqref="AG29" showDropDown="0" showInputMessage="0" showErrorMessage="1" allowBlank="1" errorTitle="Invalid hours" error="Enter 0 or more." type="decimal" operator="greaterThanOrEqual">
      <formula1>0</formula1>
    </dataValidation>
    <dataValidation sqref="X30" showDropDown="0" showInputMessage="0" showErrorMessage="0" allowBlank="1" type="list">
      <formula1>=INDIRECT("WO_"&amp;$W30)</formula1>
    </dataValidation>
    <dataValidation sqref="Y30" showDropDown="0" showInputMessage="0" showErrorMessage="0" allowBlank="1" type="list">
      <formula1>=INDIRECT("WO_"&amp;$W30)</formula1>
    </dataValidation>
    <dataValidation sqref="Z30" showDropDown="0" showInputMessage="0" showErrorMessage="0" allowBlank="1" type="list">
      <formula1>=INDIRECT("WO_"&amp;$W30)</formula1>
    </dataValidation>
    <dataValidation sqref="AA30" showDropDown="0" showInputMessage="0" showErrorMessage="0" allowBlank="1" type="list">
      <formula1>=INDIRECT("WO_"&amp;$W30)</formula1>
    </dataValidation>
    <dataValidation sqref="AB30" showDropDown="0" showInputMessage="0" showErrorMessage="0" allowBlank="1" type="list">
      <formula1>=INDIRECT("WO_"&amp;$W30)</formula1>
    </dataValidation>
    <dataValidation sqref="AC30" showDropDown="0" showInputMessage="0" showErrorMessage="1" allowBlank="1" errorTitle="Invalid hours" error="Enter 0 or more." type="decimal" operator="greaterThanOrEqual">
      <formula1>0</formula1>
    </dataValidation>
    <dataValidation sqref="AD30" showDropDown="0" showInputMessage="0" showErrorMessage="1" allowBlank="1" errorTitle="Invalid hours" error="Enter 0 or more." type="decimal" operator="greaterThanOrEqual">
      <formula1>0</formula1>
    </dataValidation>
    <dataValidation sqref="AG30" showDropDown="0" showInputMessage="0" showErrorMessage="1" allowBlank="1" errorTitle="Invalid hours" error="Enter 0 or more." type="decimal" operator="greaterThanOrEqual">
      <formula1>0</formula1>
    </dataValidation>
    <dataValidation sqref="X31" showDropDown="0" showInputMessage="0" showErrorMessage="0" allowBlank="1" type="list">
      <formula1>=INDIRECT("WO_"&amp;$W31)</formula1>
    </dataValidation>
    <dataValidation sqref="Y31" showDropDown="0" showInputMessage="0" showErrorMessage="0" allowBlank="1" type="list">
      <formula1>=INDIRECT("WO_"&amp;$W31)</formula1>
    </dataValidation>
    <dataValidation sqref="Z31" showDropDown="0" showInputMessage="0" showErrorMessage="0" allowBlank="1" type="list">
      <formula1>=INDIRECT("WO_"&amp;$W31)</formula1>
    </dataValidation>
    <dataValidation sqref="AA31" showDropDown="0" showInputMessage="0" showErrorMessage="0" allowBlank="1" type="list">
      <formula1>=INDIRECT("WO_"&amp;$W31)</formula1>
    </dataValidation>
    <dataValidation sqref="AB31" showDropDown="0" showInputMessage="0" showErrorMessage="0" allowBlank="1" type="list">
      <formula1>=INDIRECT("WO_"&amp;$W31)</formula1>
    </dataValidation>
    <dataValidation sqref="AC31" showDropDown="0" showInputMessage="0" showErrorMessage="1" allowBlank="1" errorTitle="Invalid hours" error="Enter 0 or more." type="decimal" operator="greaterThanOrEqual">
      <formula1>0</formula1>
    </dataValidation>
    <dataValidation sqref="AD31" showDropDown="0" showInputMessage="0" showErrorMessage="1" allowBlank="1" errorTitle="Invalid hours" error="Enter 0 or more." type="decimal" operator="greaterThanOrEqual">
      <formula1>0</formula1>
    </dataValidation>
    <dataValidation sqref="AG31" showDropDown="0" showInputMessage="0" showErrorMessage="1" allowBlank="1" errorTitle="Invalid hours" error="Enter 0 or more." type="decimal" operator="greaterThanOrEqual">
      <formula1>0</formula1>
    </dataValidation>
    <dataValidation sqref="X32" showDropDown="0" showInputMessage="0" showErrorMessage="0" allowBlank="1" type="list">
      <formula1>=INDIRECT("WO_"&amp;$W32)</formula1>
    </dataValidation>
    <dataValidation sqref="Y32" showDropDown="0" showInputMessage="0" showErrorMessage="0" allowBlank="1" type="list">
      <formula1>=INDIRECT("WO_"&amp;$W32)</formula1>
    </dataValidation>
    <dataValidation sqref="Z32" showDropDown="0" showInputMessage="0" showErrorMessage="0" allowBlank="1" type="list">
      <formula1>=INDIRECT("WO_"&amp;$W32)</formula1>
    </dataValidation>
    <dataValidation sqref="AA32" showDropDown="0" showInputMessage="0" showErrorMessage="0" allowBlank="1" type="list">
      <formula1>=INDIRECT("WO_"&amp;$W32)</formula1>
    </dataValidation>
    <dataValidation sqref="AB32" showDropDown="0" showInputMessage="0" showErrorMessage="0" allowBlank="1" type="list">
      <formula1>=INDIRECT("WO_"&amp;$W32)</formula1>
    </dataValidation>
    <dataValidation sqref="AC32" showDropDown="0" showInputMessage="0" showErrorMessage="1" allowBlank="1" errorTitle="Invalid hours" error="Enter 0 or more." type="decimal" operator="greaterThanOrEqual">
      <formula1>0</formula1>
    </dataValidation>
    <dataValidation sqref="AD32" showDropDown="0" showInputMessage="0" showErrorMessage="1" allowBlank="1" errorTitle="Invalid hours" error="Enter 0 or more." type="decimal" operator="greaterThanOrEqual">
      <formula1>0</formula1>
    </dataValidation>
    <dataValidation sqref="AG32" showDropDown="0" showInputMessage="0" showErrorMessage="1" allowBlank="1" errorTitle="Invalid hours" error="Enter 0 or more." type="decimal" operator="greaterThanOrEqual">
      <formula1>0</formula1>
    </dataValidation>
    <dataValidation sqref="X33" showDropDown="0" showInputMessage="0" showErrorMessage="0" allowBlank="1" type="list">
      <formula1>=INDIRECT("WO_"&amp;$W33)</formula1>
    </dataValidation>
    <dataValidation sqref="Y33" showDropDown="0" showInputMessage="0" showErrorMessage="0" allowBlank="1" type="list">
      <formula1>=INDIRECT("WO_"&amp;$W33)</formula1>
    </dataValidation>
    <dataValidation sqref="Z33" showDropDown="0" showInputMessage="0" showErrorMessage="0" allowBlank="1" type="list">
      <formula1>=INDIRECT("WO_"&amp;$W33)</formula1>
    </dataValidation>
    <dataValidation sqref="AA33" showDropDown="0" showInputMessage="0" showErrorMessage="0" allowBlank="1" type="list">
      <formula1>=INDIRECT("WO_"&amp;$W33)</formula1>
    </dataValidation>
    <dataValidation sqref="AB33" showDropDown="0" showInputMessage="0" showErrorMessage="0" allowBlank="1" type="list">
      <formula1>=INDIRECT("WO_"&amp;$W33)</formula1>
    </dataValidation>
    <dataValidation sqref="AC33" showDropDown="0" showInputMessage="0" showErrorMessage="1" allowBlank="1" errorTitle="Invalid hours" error="Enter 0 or more." type="decimal" operator="greaterThanOrEqual">
      <formula1>0</formula1>
    </dataValidation>
    <dataValidation sqref="AD33" showDropDown="0" showInputMessage="0" showErrorMessage="1" allowBlank="1" errorTitle="Invalid hours" error="Enter 0 or more." type="decimal" operator="greaterThanOrEqual">
      <formula1>0</formula1>
    </dataValidation>
    <dataValidation sqref="AG33" showDropDown="0" showInputMessage="0" showErrorMessage="1" allowBlank="1" errorTitle="Invalid hours" error="Enter 0 or more." type="decimal" operator="greaterThanOrEqual">
      <formula1>0</formula1>
    </dataValidation>
    <dataValidation sqref="X34" showDropDown="0" showInputMessage="0" showErrorMessage="0" allowBlank="1" type="list">
      <formula1>=INDIRECT("WO_"&amp;$W34)</formula1>
    </dataValidation>
    <dataValidation sqref="Y34" showDropDown="0" showInputMessage="0" showErrorMessage="0" allowBlank="1" type="list">
      <formula1>=INDIRECT("WO_"&amp;$W34)</formula1>
    </dataValidation>
    <dataValidation sqref="Z34" showDropDown="0" showInputMessage="0" showErrorMessage="0" allowBlank="1" type="list">
      <formula1>=INDIRECT("WO_"&amp;$W34)</formula1>
    </dataValidation>
    <dataValidation sqref="AA34" showDropDown="0" showInputMessage="0" showErrorMessage="0" allowBlank="1" type="list">
      <formula1>=INDIRECT("WO_"&amp;$W34)</formula1>
    </dataValidation>
    <dataValidation sqref="AB34" showDropDown="0" showInputMessage="0" showErrorMessage="0" allowBlank="1" type="list">
      <formula1>=INDIRECT("WO_"&amp;$W34)</formula1>
    </dataValidation>
    <dataValidation sqref="AC34" showDropDown="0" showInputMessage="0" showErrorMessage="1" allowBlank="1" errorTitle="Invalid hours" error="Enter 0 or more." type="decimal" operator="greaterThanOrEqual">
      <formula1>0</formula1>
    </dataValidation>
    <dataValidation sqref="AD34" showDropDown="0" showInputMessage="0" showErrorMessage="1" allowBlank="1" errorTitle="Invalid hours" error="Enter 0 or more." type="decimal" operator="greaterThanOrEqual">
      <formula1>0</formula1>
    </dataValidation>
    <dataValidation sqref="AG34" showDropDown="0" showInputMessage="0" showErrorMessage="1" allowBlank="1" errorTitle="Invalid hours" error="Enter 0 or more." type="decimal" operator="greaterThanOrEqual">
      <formula1>0</formula1>
    </dataValidation>
    <dataValidation sqref="X35" showDropDown="0" showInputMessage="0" showErrorMessage="0" allowBlank="1" type="list">
      <formula1>=INDIRECT("WO_"&amp;$W35)</formula1>
    </dataValidation>
    <dataValidation sqref="Y35" showDropDown="0" showInputMessage="0" showErrorMessage="0" allowBlank="1" type="list">
      <formula1>=INDIRECT("WO_"&amp;$W35)</formula1>
    </dataValidation>
    <dataValidation sqref="Z35" showDropDown="0" showInputMessage="0" showErrorMessage="0" allowBlank="1" type="list">
      <formula1>=INDIRECT("WO_"&amp;$W35)</formula1>
    </dataValidation>
    <dataValidation sqref="AA35" showDropDown="0" showInputMessage="0" showErrorMessage="0" allowBlank="1" type="list">
      <formula1>=INDIRECT("WO_"&amp;$W35)</formula1>
    </dataValidation>
    <dataValidation sqref="AB35" showDropDown="0" showInputMessage="0" showErrorMessage="0" allowBlank="1" type="list">
      <formula1>=INDIRECT("WO_"&amp;$W35)</formula1>
    </dataValidation>
    <dataValidation sqref="AC35" showDropDown="0" showInputMessage="0" showErrorMessage="1" allowBlank="1" errorTitle="Invalid hours" error="Enter 0 or more." type="decimal" operator="greaterThanOrEqual">
      <formula1>0</formula1>
    </dataValidation>
    <dataValidation sqref="AD35" showDropDown="0" showInputMessage="0" showErrorMessage="1" allowBlank="1" errorTitle="Invalid hours" error="Enter 0 or more." type="decimal" operator="greaterThanOrEqual">
      <formula1>0</formula1>
    </dataValidation>
    <dataValidation sqref="AG35" showDropDown="0" showInputMessage="0" showErrorMessage="1" allowBlank="1" errorTitle="Invalid hours" error="Enter 0 or more." type="decimal" operator="greaterThanOrEqual">
      <formula1>0</formula1>
    </dataValidation>
    <dataValidation sqref="X36" showDropDown="0" showInputMessage="0" showErrorMessage="0" allowBlank="1" type="list">
      <formula1>=INDIRECT("WO_"&amp;$W36)</formula1>
    </dataValidation>
    <dataValidation sqref="Y36" showDropDown="0" showInputMessage="0" showErrorMessage="0" allowBlank="1" type="list">
      <formula1>=INDIRECT("WO_"&amp;$W36)</formula1>
    </dataValidation>
    <dataValidation sqref="Z36" showDropDown="0" showInputMessage="0" showErrorMessage="0" allowBlank="1" type="list">
      <formula1>=INDIRECT("WO_"&amp;$W36)</formula1>
    </dataValidation>
    <dataValidation sqref="AA36" showDropDown="0" showInputMessage="0" showErrorMessage="0" allowBlank="1" type="list">
      <formula1>=INDIRECT("WO_"&amp;$W36)</formula1>
    </dataValidation>
    <dataValidation sqref="AB36" showDropDown="0" showInputMessage="0" showErrorMessage="0" allowBlank="1" type="list">
      <formula1>=INDIRECT("WO_"&amp;$W36)</formula1>
    </dataValidation>
    <dataValidation sqref="AC36" showDropDown="0" showInputMessage="0" showErrorMessage="1" allowBlank="1" errorTitle="Invalid hours" error="Enter 0 or more." type="decimal" operator="greaterThanOrEqual">
      <formula1>0</formula1>
    </dataValidation>
    <dataValidation sqref="AD36" showDropDown="0" showInputMessage="0" showErrorMessage="1" allowBlank="1" errorTitle="Invalid hours" error="Enter 0 or more." type="decimal" operator="greaterThanOrEqual">
      <formula1>0</formula1>
    </dataValidation>
    <dataValidation sqref="AG36" showDropDown="0" showInputMessage="0" showErrorMessage="1" allowBlank="1" errorTitle="Invalid hours" error="Enter 0 or more." type="decimal" operator="greaterThanOrEqual">
      <formula1>0</formula1>
    </dataValidation>
    <dataValidation sqref="X37" showDropDown="0" showInputMessage="0" showErrorMessage="0" allowBlank="1" type="list">
      <formula1>=INDIRECT("WO_"&amp;$W37)</formula1>
    </dataValidation>
    <dataValidation sqref="Y37" showDropDown="0" showInputMessage="0" showErrorMessage="0" allowBlank="1" type="list">
      <formula1>=INDIRECT("WO_"&amp;$W37)</formula1>
    </dataValidation>
    <dataValidation sqref="Z37" showDropDown="0" showInputMessage="0" showErrorMessage="0" allowBlank="1" type="list">
      <formula1>=INDIRECT("WO_"&amp;$W37)</formula1>
    </dataValidation>
    <dataValidation sqref="AA37" showDropDown="0" showInputMessage="0" showErrorMessage="0" allowBlank="1" type="list">
      <formula1>=INDIRECT("WO_"&amp;$W37)</formula1>
    </dataValidation>
    <dataValidation sqref="AB37" showDropDown="0" showInputMessage="0" showErrorMessage="0" allowBlank="1" type="list">
      <formula1>=INDIRECT("WO_"&amp;$W37)</formula1>
    </dataValidation>
    <dataValidation sqref="AC37" showDropDown="0" showInputMessage="0" showErrorMessage="1" allowBlank="1" errorTitle="Invalid hours" error="Enter 0 or more." type="decimal" operator="greaterThanOrEqual">
      <formula1>0</formula1>
    </dataValidation>
    <dataValidation sqref="AD37" showDropDown="0" showInputMessage="0" showErrorMessage="1" allowBlank="1" errorTitle="Invalid hours" error="Enter 0 or more." type="decimal" operator="greaterThanOrEqual">
      <formula1>0</formula1>
    </dataValidation>
    <dataValidation sqref="AG37" showDropDown="0" showInputMessage="0" showErrorMessage="1" allowBlank="1" errorTitle="Invalid hours" error="Enter 0 or more." type="decimal" operator="greaterThanOrEqual">
      <formula1>0</formula1>
    </dataValidation>
    <dataValidation sqref="X38" showDropDown="0" showInputMessage="0" showErrorMessage="0" allowBlank="1" type="list">
      <formula1>=INDIRECT("WO_"&amp;$W38)</formula1>
    </dataValidation>
    <dataValidation sqref="Y38" showDropDown="0" showInputMessage="0" showErrorMessage="0" allowBlank="1" type="list">
      <formula1>=INDIRECT("WO_"&amp;$W38)</formula1>
    </dataValidation>
    <dataValidation sqref="Z38" showDropDown="0" showInputMessage="0" showErrorMessage="0" allowBlank="1" type="list">
      <formula1>=INDIRECT("WO_"&amp;$W38)</formula1>
    </dataValidation>
    <dataValidation sqref="AA38" showDropDown="0" showInputMessage="0" showErrorMessage="0" allowBlank="1" type="list">
      <formula1>=INDIRECT("WO_"&amp;$W38)</formula1>
    </dataValidation>
    <dataValidation sqref="AB38" showDropDown="0" showInputMessage="0" showErrorMessage="0" allowBlank="1" type="list">
      <formula1>=INDIRECT("WO_"&amp;$W38)</formula1>
    </dataValidation>
    <dataValidation sqref="AC38" showDropDown="0" showInputMessage="0" showErrorMessage="1" allowBlank="1" errorTitle="Invalid hours" error="Enter 0 or more." type="decimal" operator="greaterThanOrEqual">
      <formula1>0</formula1>
    </dataValidation>
    <dataValidation sqref="AD38" showDropDown="0" showInputMessage="0" showErrorMessage="1" allowBlank="1" errorTitle="Invalid hours" error="Enter 0 or more." type="decimal" operator="greaterThanOrEqual">
      <formula1>0</formula1>
    </dataValidation>
    <dataValidation sqref="AG38" showDropDown="0" showInputMessage="0" showErrorMessage="1" allowBlank="1" errorTitle="Invalid hours" error="Enter 0 or more." type="decimal" operator="greaterThanOrEqual">
      <formula1>0</formula1>
    </dataValidation>
    <dataValidation sqref="X39" showDropDown="0" showInputMessage="0" showErrorMessage="0" allowBlank="1" type="list">
      <formula1>=INDIRECT("WO_"&amp;$W39)</formula1>
    </dataValidation>
    <dataValidation sqref="Y39" showDropDown="0" showInputMessage="0" showErrorMessage="0" allowBlank="1" type="list">
      <formula1>=INDIRECT("WO_"&amp;$W39)</formula1>
    </dataValidation>
    <dataValidation sqref="Z39" showDropDown="0" showInputMessage="0" showErrorMessage="0" allowBlank="1" type="list">
      <formula1>=INDIRECT("WO_"&amp;$W39)</formula1>
    </dataValidation>
    <dataValidation sqref="AA39" showDropDown="0" showInputMessage="0" showErrorMessage="0" allowBlank="1" type="list">
      <formula1>=INDIRECT("WO_"&amp;$W39)</formula1>
    </dataValidation>
    <dataValidation sqref="AB39" showDropDown="0" showInputMessage="0" showErrorMessage="0" allowBlank="1" type="list">
      <formula1>=INDIRECT("WO_"&amp;$W39)</formula1>
    </dataValidation>
    <dataValidation sqref="AC39" showDropDown="0" showInputMessage="0" showErrorMessage="1" allowBlank="1" errorTitle="Invalid hours" error="Enter 0 or more." type="decimal" operator="greaterThanOrEqual">
      <formula1>0</formula1>
    </dataValidation>
    <dataValidation sqref="AD39" showDropDown="0" showInputMessage="0" showErrorMessage="1" allowBlank="1" errorTitle="Invalid hours" error="Enter 0 or more." type="decimal" operator="greaterThanOrEqual">
      <formula1>0</formula1>
    </dataValidation>
    <dataValidation sqref="AG39" showDropDown="0" showInputMessage="0" showErrorMessage="1" allowBlank="1" errorTitle="Invalid hours" error="Enter 0 or more." type="decimal" operator="greaterThanOrEqual">
      <formula1>0</formula1>
    </dataValidation>
    <dataValidation sqref="X40" showDropDown="0" showInputMessage="0" showErrorMessage="0" allowBlank="1" type="list">
      <formula1>=INDIRECT("WO_"&amp;$W40)</formula1>
    </dataValidation>
    <dataValidation sqref="Y40" showDropDown="0" showInputMessage="0" showErrorMessage="0" allowBlank="1" type="list">
      <formula1>=INDIRECT("WO_"&amp;$W40)</formula1>
    </dataValidation>
    <dataValidation sqref="Z40" showDropDown="0" showInputMessage="0" showErrorMessage="0" allowBlank="1" type="list">
      <formula1>=INDIRECT("WO_"&amp;$W40)</formula1>
    </dataValidation>
    <dataValidation sqref="AA40" showDropDown="0" showInputMessage="0" showErrorMessage="0" allowBlank="1" type="list">
      <formula1>=INDIRECT("WO_"&amp;$W40)</formula1>
    </dataValidation>
    <dataValidation sqref="AB40" showDropDown="0" showInputMessage="0" showErrorMessage="0" allowBlank="1" type="list">
      <formula1>=INDIRECT("WO_"&amp;$W40)</formula1>
    </dataValidation>
    <dataValidation sqref="AC40" showDropDown="0" showInputMessage="0" showErrorMessage="1" allowBlank="1" errorTitle="Invalid hours" error="Enter 0 or more." type="decimal" operator="greaterThanOrEqual">
      <formula1>0</formula1>
    </dataValidation>
    <dataValidation sqref="AD40" showDropDown="0" showInputMessage="0" showErrorMessage="1" allowBlank="1" errorTitle="Invalid hours" error="Enter 0 or more." type="decimal" operator="greaterThanOrEqual">
      <formula1>0</formula1>
    </dataValidation>
    <dataValidation sqref="AG40" showDropDown="0" showInputMessage="0" showErrorMessage="1" allowBlank="1" errorTitle="Invalid hours" error="Enter 0 or more." type="decimal" operator="greaterThanOrEqual">
      <formula1>0</formula1>
    </dataValidation>
    <dataValidation sqref="X41" showDropDown="0" showInputMessage="0" showErrorMessage="0" allowBlank="1" type="list">
      <formula1>=INDIRECT("WO_"&amp;$W41)</formula1>
    </dataValidation>
    <dataValidation sqref="Y41" showDropDown="0" showInputMessage="0" showErrorMessage="0" allowBlank="1" type="list">
      <formula1>=INDIRECT("WO_"&amp;$W41)</formula1>
    </dataValidation>
    <dataValidation sqref="Z41" showDropDown="0" showInputMessage="0" showErrorMessage="0" allowBlank="1" type="list">
      <formula1>=INDIRECT("WO_"&amp;$W41)</formula1>
    </dataValidation>
    <dataValidation sqref="AA41" showDropDown="0" showInputMessage="0" showErrorMessage="0" allowBlank="1" type="list">
      <formula1>=INDIRECT("WO_"&amp;$W41)</formula1>
    </dataValidation>
    <dataValidation sqref="AB41" showDropDown="0" showInputMessage="0" showErrorMessage="0" allowBlank="1" type="list">
      <formula1>=INDIRECT("WO_"&amp;$W41)</formula1>
    </dataValidation>
    <dataValidation sqref="AC41" showDropDown="0" showInputMessage="0" showErrorMessage="1" allowBlank="1" errorTitle="Invalid hours" error="Enter 0 or more." type="decimal" operator="greaterThanOrEqual">
      <formula1>0</formula1>
    </dataValidation>
    <dataValidation sqref="AD41" showDropDown="0" showInputMessage="0" showErrorMessage="1" allowBlank="1" errorTitle="Invalid hours" error="Enter 0 or more." type="decimal" operator="greaterThanOrEqual">
      <formula1>0</formula1>
    </dataValidation>
    <dataValidation sqref="AG41" showDropDown="0" showInputMessage="0" showErrorMessage="1" allowBlank="1" errorTitle="Invalid hours" error="Enter 0 or more." type="decimal" operator="greaterThanOrEqual">
      <formula1>0</formula1>
    </dataValidation>
    <dataValidation sqref="X42" showDropDown="0" showInputMessage="0" showErrorMessage="0" allowBlank="1" type="list">
      <formula1>=INDIRECT("WO_"&amp;$W42)</formula1>
    </dataValidation>
    <dataValidation sqref="Y42" showDropDown="0" showInputMessage="0" showErrorMessage="0" allowBlank="1" type="list">
      <formula1>=INDIRECT("WO_"&amp;$W42)</formula1>
    </dataValidation>
    <dataValidation sqref="Z42" showDropDown="0" showInputMessage="0" showErrorMessage="0" allowBlank="1" type="list">
      <formula1>=INDIRECT("WO_"&amp;$W42)</formula1>
    </dataValidation>
    <dataValidation sqref="AA42" showDropDown="0" showInputMessage="0" showErrorMessage="0" allowBlank="1" type="list">
      <formula1>=INDIRECT("WO_"&amp;$W42)</formula1>
    </dataValidation>
    <dataValidation sqref="AB42" showDropDown="0" showInputMessage="0" showErrorMessage="0" allowBlank="1" type="list">
      <formula1>=INDIRECT("WO_"&amp;$W42)</formula1>
    </dataValidation>
    <dataValidation sqref="AC42" showDropDown="0" showInputMessage="0" showErrorMessage="1" allowBlank="1" errorTitle="Invalid hours" error="Enter 0 or more." type="decimal" operator="greaterThanOrEqual">
      <formula1>0</formula1>
    </dataValidation>
    <dataValidation sqref="AD42" showDropDown="0" showInputMessage="0" showErrorMessage="1" allowBlank="1" errorTitle="Invalid hours" error="Enter 0 or more." type="decimal" operator="greaterThanOrEqual">
      <formula1>0</formula1>
    </dataValidation>
    <dataValidation sqref="AG42" showDropDown="0" showInputMessage="0" showErrorMessage="1" allowBlank="1" errorTitle="Invalid hours" error="Enter 0 or more." type="decimal" operator="greaterThanOrEqual">
      <formula1>0</formula1>
    </dataValidation>
    <dataValidation sqref="X43" showDropDown="0" showInputMessage="0" showErrorMessage="0" allowBlank="1" type="list">
      <formula1>=INDIRECT("WO_"&amp;$W43)</formula1>
    </dataValidation>
    <dataValidation sqref="Y43" showDropDown="0" showInputMessage="0" showErrorMessage="0" allowBlank="1" type="list">
      <formula1>=INDIRECT("WO_"&amp;$W43)</formula1>
    </dataValidation>
    <dataValidation sqref="Z43" showDropDown="0" showInputMessage="0" showErrorMessage="0" allowBlank="1" type="list">
      <formula1>=INDIRECT("WO_"&amp;$W43)</formula1>
    </dataValidation>
    <dataValidation sqref="AA43" showDropDown="0" showInputMessage="0" showErrorMessage="0" allowBlank="1" type="list">
      <formula1>=INDIRECT("WO_"&amp;$W43)</formula1>
    </dataValidation>
    <dataValidation sqref="AB43" showDropDown="0" showInputMessage="0" showErrorMessage="0" allowBlank="1" type="list">
      <formula1>=INDIRECT("WO_"&amp;$W43)</formula1>
    </dataValidation>
    <dataValidation sqref="AC43" showDropDown="0" showInputMessage="0" showErrorMessage="1" allowBlank="1" errorTitle="Invalid hours" error="Enter 0 or more." type="decimal" operator="greaterThanOrEqual">
      <formula1>0</formula1>
    </dataValidation>
    <dataValidation sqref="AD43" showDropDown="0" showInputMessage="0" showErrorMessage="1" allowBlank="1" errorTitle="Invalid hours" error="Enter 0 or more." type="decimal" operator="greaterThanOrEqual">
      <formula1>0</formula1>
    </dataValidation>
    <dataValidation sqref="AG43" showDropDown="0" showInputMessage="0" showErrorMessage="1" allowBlank="1" errorTitle="Invalid hours" error="Enter 0 or more." type="decimal" operator="greaterThanOrEqual">
      <formula1>0</formula1>
    </dataValidation>
    <dataValidation sqref="X44" showDropDown="0" showInputMessage="0" showErrorMessage="0" allowBlank="1" type="list">
      <formula1>=INDIRECT("WO_"&amp;$W44)</formula1>
    </dataValidation>
    <dataValidation sqref="Y44" showDropDown="0" showInputMessage="0" showErrorMessage="0" allowBlank="1" type="list">
      <formula1>=INDIRECT("WO_"&amp;$W44)</formula1>
    </dataValidation>
    <dataValidation sqref="Z44" showDropDown="0" showInputMessage="0" showErrorMessage="0" allowBlank="1" type="list">
      <formula1>=INDIRECT("WO_"&amp;$W44)</formula1>
    </dataValidation>
    <dataValidation sqref="AA44" showDropDown="0" showInputMessage="0" showErrorMessage="0" allowBlank="1" type="list">
      <formula1>=INDIRECT("WO_"&amp;$W44)</formula1>
    </dataValidation>
    <dataValidation sqref="AB44" showDropDown="0" showInputMessage="0" showErrorMessage="0" allowBlank="1" type="list">
      <formula1>=INDIRECT("WO_"&amp;$W44)</formula1>
    </dataValidation>
    <dataValidation sqref="AC44" showDropDown="0" showInputMessage="0" showErrorMessage="1" allowBlank="1" errorTitle="Invalid hours" error="Enter 0 or more." type="decimal" operator="greaterThanOrEqual">
      <formula1>0</formula1>
    </dataValidation>
    <dataValidation sqref="AD44" showDropDown="0" showInputMessage="0" showErrorMessage="1" allowBlank="1" errorTitle="Invalid hours" error="Enter 0 or more." type="decimal" operator="greaterThanOrEqual">
      <formula1>0</formula1>
    </dataValidation>
    <dataValidation sqref="AG44" showDropDown="0" showInputMessage="0" showErrorMessage="1" allowBlank="1" errorTitle="Invalid hours" error="Enter 0 or more." type="decimal" operator="greaterThanOrEqual">
      <formula1>0</formula1>
    </dataValidation>
    <dataValidation sqref="X45" showDropDown="0" showInputMessage="0" showErrorMessage="0" allowBlank="1" type="list">
      <formula1>=INDIRECT("WO_"&amp;$W45)</formula1>
    </dataValidation>
    <dataValidation sqref="Y45" showDropDown="0" showInputMessage="0" showErrorMessage="0" allowBlank="1" type="list">
      <formula1>=INDIRECT("WO_"&amp;$W45)</formula1>
    </dataValidation>
    <dataValidation sqref="Z45" showDropDown="0" showInputMessage="0" showErrorMessage="0" allowBlank="1" type="list">
      <formula1>=INDIRECT("WO_"&amp;$W45)</formula1>
    </dataValidation>
    <dataValidation sqref="AA45" showDropDown="0" showInputMessage="0" showErrorMessage="0" allowBlank="1" type="list">
      <formula1>=INDIRECT("WO_"&amp;$W45)</formula1>
    </dataValidation>
    <dataValidation sqref="AB45" showDropDown="0" showInputMessage="0" showErrorMessage="0" allowBlank="1" type="list">
      <formula1>=INDIRECT("WO_"&amp;$W45)</formula1>
    </dataValidation>
    <dataValidation sqref="AC45" showDropDown="0" showInputMessage="0" showErrorMessage="1" allowBlank="1" errorTitle="Invalid hours" error="Enter 0 or more." type="decimal" operator="greaterThanOrEqual">
      <formula1>0</formula1>
    </dataValidation>
    <dataValidation sqref="AD45" showDropDown="0" showInputMessage="0" showErrorMessage="1" allowBlank="1" errorTitle="Invalid hours" error="Enter 0 or more." type="decimal" operator="greaterThanOrEqual">
      <formula1>0</formula1>
    </dataValidation>
    <dataValidation sqref="AG45" showDropDown="0" showInputMessage="0" showErrorMessage="1" allowBlank="1" errorTitle="Invalid hours" error="Enter 0 or more." type="decimal" operator="greaterThanOrEqual">
      <formula1>0</formula1>
    </dataValidation>
    <dataValidation sqref="X46" showDropDown="0" showInputMessage="0" showErrorMessage="0" allowBlank="1" type="list">
      <formula1>=INDIRECT("WO_"&amp;$W46)</formula1>
    </dataValidation>
    <dataValidation sqref="Y46" showDropDown="0" showInputMessage="0" showErrorMessage="0" allowBlank="1" type="list">
      <formula1>=INDIRECT("WO_"&amp;$W46)</formula1>
    </dataValidation>
    <dataValidation sqref="Z46" showDropDown="0" showInputMessage="0" showErrorMessage="0" allowBlank="1" type="list">
      <formula1>=INDIRECT("WO_"&amp;$W46)</formula1>
    </dataValidation>
    <dataValidation sqref="AA46" showDropDown="0" showInputMessage="0" showErrorMessage="0" allowBlank="1" type="list">
      <formula1>=INDIRECT("WO_"&amp;$W46)</formula1>
    </dataValidation>
    <dataValidation sqref="AB46" showDropDown="0" showInputMessage="0" showErrorMessage="0" allowBlank="1" type="list">
      <formula1>=INDIRECT("WO_"&amp;$W46)</formula1>
    </dataValidation>
    <dataValidation sqref="AC46" showDropDown="0" showInputMessage="0" showErrorMessage="1" allowBlank="1" errorTitle="Invalid hours" error="Enter 0 or more." type="decimal" operator="greaterThanOrEqual">
      <formula1>0</formula1>
    </dataValidation>
    <dataValidation sqref="AD46" showDropDown="0" showInputMessage="0" showErrorMessage="1" allowBlank="1" errorTitle="Invalid hours" error="Enter 0 or more." type="decimal" operator="greaterThanOrEqual">
      <formula1>0</formula1>
    </dataValidation>
    <dataValidation sqref="AG46" showDropDown="0" showInputMessage="0" showErrorMessage="1" allowBlank="1" errorTitle="Invalid hours" error="Enter 0 or more." type="decimal" operator="greaterThanOrEqual">
      <formula1>0</formula1>
    </dataValidation>
    <dataValidation sqref="X47" showDropDown="0" showInputMessage="0" showErrorMessage="0" allowBlank="1" type="list">
      <formula1>=INDIRECT("WO_"&amp;$W47)</formula1>
    </dataValidation>
    <dataValidation sqref="Y47" showDropDown="0" showInputMessage="0" showErrorMessage="0" allowBlank="1" type="list">
      <formula1>=INDIRECT("WO_"&amp;$W47)</formula1>
    </dataValidation>
    <dataValidation sqref="Z47" showDropDown="0" showInputMessage="0" showErrorMessage="0" allowBlank="1" type="list">
      <formula1>=INDIRECT("WO_"&amp;$W47)</formula1>
    </dataValidation>
    <dataValidation sqref="AA47" showDropDown="0" showInputMessage="0" showErrorMessage="0" allowBlank="1" type="list">
      <formula1>=INDIRECT("WO_"&amp;$W47)</formula1>
    </dataValidation>
    <dataValidation sqref="AB47" showDropDown="0" showInputMessage="0" showErrorMessage="0" allowBlank="1" type="list">
      <formula1>=INDIRECT("WO_"&amp;$W47)</formula1>
    </dataValidation>
    <dataValidation sqref="AC47" showDropDown="0" showInputMessage="0" showErrorMessage="1" allowBlank="1" errorTitle="Invalid hours" error="Enter 0 or more." type="decimal" operator="greaterThanOrEqual">
      <formula1>0</formula1>
    </dataValidation>
    <dataValidation sqref="AD47" showDropDown="0" showInputMessage="0" showErrorMessage="1" allowBlank="1" errorTitle="Invalid hours" error="Enter 0 or more." type="decimal" operator="greaterThanOrEqual">
      <formula1>0</formula1>
    </dataValidation>
    <dataValidation sqref="AG47" showDropDown="0" showInputMessage="0" showErrorMessage="1" allowBlank="1" errorTitle="Invalid hours" error="Enter 0 or more." type="decimal" operator="greaterThanOrEqual">
      <formula1>0</formula1>
    </dataValidation>
    <dataValidation sqref="X48" showDropDown="0" showInputMessage="0" showErrorMessage="0" allowBlank="1" type="list">
      <formula1>=INDIRECT("WO_"&amp;$W48)</formula1>
    </dataValidation>
    <dataValidation sqref="Y48" showDropDown="0" showInputMessage="0" showErrorMessage="0" allowBlank="1" type="list">
      <formula1>=INDIRECT("WO_"&amp;$W48)</formula1>
    </dataValidation>
    <dataValidation sqref="Z48" showDropDown="0" showInputMessage="0" showErrorMessage="0" allowBlank="1" type="list">
      <formula1>=INDIRECT("WO_"&amp;$W48)</formula1>
    </dataValidation>
    <dataValidation sqref="AA48" showDropDown="0" showInputMessage="0" showErrorMessage="0" allowBlank="1" type="list">
      <formula1>=INDIRECT("WO_"&amp;$W48)</formula1>
    </dataValidation>
    <dataValidation sqref="AB48" showDropDown="0" showInputMessage="0" showErrorMessage="0" allowBlank="1" type="list">
      <formula1>=INDIRECT("WO_"&amp;$W48)</formula1>
    </dataValidation>
    <dataValidation sqref="AC48" showDropDown="0" showInputMessage="0" showErrorMessage="1" allowBlank="1" errorTitle="Invalid hours" error="Enter 0 or more." type="decimal" operator="greaterThanOrEqual">
      <formula1>0</formula1>
    </dataValidation>
    <dataValidation sqref="AD48" showDropDown="0" showInputMessage="0" showErrorMessage="1" allowBlank="1" errorTitle="Invalid hours" error="Enter 0 or more." type="decimal" operator="greaterThanOrEqual">
      <formula1>0</formula1>
    </dataValidation>
    <dataValidation sqref="AG48" showDropDown="0" showInputMessage="0" showErrorMessage="1" allowBlank="1" errorTitle="Invalid hours" error="Enter 0 or more." type="decimal" operator="greaterThanOrEqual">
      <formula1>0</formula1>
    </dataValidation>
    <dataValidation sqref="U19:U48" showDropDown="0" showInputMessage="0" showErrorMessage="0" allowBlank="1" type="list">
      <formula1>=EmpNames</formula1>
    </dataValidation>
    <dataValidation sqref="V19:V48" showDropDown="0" showInputMessage="0" showErrorMessage="0" allowBlank="1" type="list">
      <formula1>=TradeNames</formula1>
    </dataValidation>
    <dataValidation sqref="W19:W48" showDropDown="0" showInputMessage="0" showErrorMessage="0" allowBlank="1" type="list">
      <formula1>=WONames</formula1>
    </dataValidation>
    <dataValidation sqref="AF19:AF48" showDropDown="0" showInputMessage="0" showErrorMessage="0" allowBlank="1" type="list">
      <formula1>=LocList</formula1>
    </dataValidation>
    <dataValidation sqref="AH19:AH48" showDropDown="0" showInputMessage="0" showErrorMessage="0" allowBlank="1" type="list">
      <formula1>=OffsiteCatList</formula1>
    </dataValidation>
    <dataValidation sqref="AI19:AI48" showDropDown="0" showInputMessage="0" showErrorMessage="0" allowBlank="1" type="list">
      <formula1>=YNList</formula1>
    </dataValidation>
    <dataValidation sqref="AJ19:AJ48" showDropDown="0" showInputMessage="0" showErrorMessage="0" allowBlank="1" type="list">
      <formula1>=YNList</formula1>
    </dataValidation>
    <dataValidation sqref="AO17" showDropDown="0" showInputMessage="0" showErrorMessage="0" allowBlank="1" type="list">
      <formula1>=PONames</formula1>
    </dataValidation>
    <dataValidation sqref="AQ19" showDropDown="0" showInputMessage="0" showErrorMessage="0" allowBlank="1" type="list">
      <formula1>=INDIRECT("WO_"&amp;$AP19)</formula1>
    </dataValidation>
    <dataValidation sqref="AR19" showDropDown="0" showInputMessage="0" showErrorMessage="0" allowBlank="1" type="list">
      <formula1>=INDIRECT("WO_"&amp;$AP19)</formula1>
    </dataValidation>
    <dataValidation sqref="AS19" showDropDown="0" showInputMessage="0" showErrorMessage="0" allowBlank="1" type="list">
      <formula1>=INDIRECT("WO_"&amp;$AP19)</formula1>
    </dataValidation>
    <dataValidation sqref="AT19" showDropDown="0" showInputMessage="0" showErrorMessage="0" allowBlank="1" type="list">
      <formula1>=INDIRECT("WO_"&amp;$AP19)</formula1>
    </dataValidation>
    <dataValidation sqref="AU19" showDropDown="0" showInputMessage="0" showErrorMessage="0" allowBlank="1" type="list">
      <formula1>=INDIRECT("WO_"&amp;$AP19)</formula1>
    </dataValidation>
    <dataValidation sqref="AV19" showDropDown="0" showInputMessage="0" showErrorMessage="1" allowBlank="1" errorTitle="Invalid hours" error="Enter 0 or more." type="decimal" operator="greaterThanOrEqual">
      <formula1>0</formula1>
    </dataValidation>
    <dataValidation sqref="AW19" showDropDown="0" showInputMessage="0" showErrorMessage="1" allowBlank="1" errorTitle="Invalid hours" error="Enter 0 or more." type="decimal" operator="greaterThanOrEqual">
      <formula1>0</formula1>
    </dataValidation>
    <dataValidation sqref="AZ19" showDropDown="0" showInputMessage="0" showErrorMessage="1" allowBlank="1" errorTitle="Invalid hours" error="Enter 0 or more." type="decimal" operator="greaterThanOrEqual">
      <formula1>0</formula1>
    </dataValidation>
    <dataValidation sqref="AQ20" showDropDown="0" showInputMessage="0" showErrorMessage="0" allowBlank="1" type="list">
      <formula1>=INDIRECT("WO_"&amp;$AP20)</formula1>
    </dataValidation>
    <dataValidation sqref="AR20" showDropDown="0" showInputMessage="0" showErrorMessage="0" allowBlank="1" type="list">
      <formula1>=INDIRECT("WO_"&amp;$AP20)</formula1>
    </dataValidation>
    <dataValidation sqref="AS20" showDropDown="0" showInputMessage="0" showErrorMessage="0" allowBlank="1" type="list">
      <formula1>=INDIRECT("WO_"&amp;$AP20)</formula1>
    </dataValidation>
    <dataValidation sqref="AT20" showDropDown="0" showInputMessage="0" showErrorMessage="0" allowBlank="1" type="list">
      <formula1>=INDIRECT("WO_"&amp;$AP20)</formula1>
    </dataValidation>
    <dataValidation sqref="AU20" showDropDown="0" showInputMessage="0" showErrorMessage="0" allowBlank="1" type="list">
      <formula1>=INDIRECT("WO_"&amp;$AP20)</formula1>
    </dataValidation>
    <dataValidation sqref="AV20" showDropDown="0" showInputMessage="0" showErrorMessage="1" allowBlank="1" errorTitle="Invalid hours" error="Enter 0 or more." type="decimal" operator="greaterThanOrEqual">
      <formula1>0</formula1>
    </dataValidation>
    <dataValidation sqref="AW20" showDropDown="0" showInputMessage="0" showErrorMessage="1" allowBlank="1" errorTitle="Invalid hours" error="Enter 0 or more." type="decimal" operator="greaterThanOrEqual">
      <formula1>0</formula1>
    </dataValidation>
    <dataValidation sqref="AZ20" showDropDown="0" showInputMessage="0" showErrorMessage="1" allowBlank="1" errorTitle="Invalid hours" error="Enter 0 or more." type="decimal" operator="greaterThanOrEqual">
      <formula1>0</formula1>
    </dataValidation>
    <dataValidation sqref="AQ21" showDropDown="0" showInputMessage="0" showErrorMessage="0" allowBlank="1" type="list">
      <formula1>=INDIRECT("WO_"&amp;$AP21)</formula1>
    </dataValidation>
    <dataValidation sqref="AR21" showDropDown="0" showInputMessage="0" showErrorMessage="0" allowBlank="1" type="list">
      <formula1>=INDIRECT("WO_"&amp;$AP21)</formula1>
    </dataValidation>
    <dataValidation sqref="AS21" showDropDown="0" showInputMessage="0" showErrorMessage="0" allowBlank="1" type="list">
      <formula1>=INDIRECT("WO_"&amp;$AP21)</formula1>
    </dataValidation>
    <dataValidation sqref="AT21" showDropDown="0" showInputMessage="0" showErrorMessage="0" allowBlank="1" type="list">
      <formula1>=INDIRECT("WO_"&amp;$AP21)</formula1>
    </dataValidation>
    <dataValidation sqref="AU21" showDropDown="0" showInputMessage="0" showErrorMessage="0" allowBlank="1" type="list">
      <formula1>=INDIRECT("WO_"&amp;$AP21)</formula1>
    </dataValidation>
    <dataValidation sqref="AV21" showDropDown="0" showInputMessage="0" showErrorMessage="1" allowBlank="1" errorTitle="Invalid hours" error="Enter 0 or more." type="decimal" operator="greaterThanOrEqual">
      <formula1>0</formula1>
    </dataValidation>
    <dataValidation sqref="AW21" showDropDown="0" showInputMessage="0" showErrorMessage="1" allowBlank="1" errorTitle="Invalid hours" error="Enter 0 or more." type="decimal" operator="greaterThanOrEqual">
      <formula1>0</formula1>
    </dataValidation>
    <dataValidation sqref="AZ21" showDropDown="0" showInputMessage="0" showErrorMessage="1" allowBlank="1" errorTitle="Invalid hours" error="Enter 0 or more." type="decimal" operator="greaterThanOrEqual">
      <formula1>0</formula1>
    </dataValidation>
    <dataValidation sqref="AQ22" showDropDown="0" showInputMessage="0" showErrorMessage="0" allowBlank="1" type="list">
      <formula1>=INDIRECT("WO_"&amp;$AP22)</formula1>
    </dataValidation>
    <dataValidation sqref="AR22" showDropDown="0" showInputMessage="0" showErrorMessage="0" allowBlank="1" type="list">
      <formula1>=INDIRECT("WO_"&amp;$AP22)</formula1>
    </dataValidation>
    <dataValidation sqref="AS22" showDropDown="0" showInputMessage="0" showErrorMessage="0" allowBlank="1" type="list">
      <formula1>=INDIRECT("WO_"&amp;$AP22)</formula1>
    </dataValidation>
    <dataValidation sqref="AT22" showDropDown="0" showInputMessage="0" showErrorMessage="0" allowBlank="1" type="list">
      <formula1>=INDIRECT("WO_"&amp;$AP22)</formula1>
    </dataValidation>
    <dataValidation sqref="AU22" showDropDown="0" showInputMessage="0" showErrorMessage="0" allowBlank="1" type="list">
      <formula1>=INDIRECT("WO_"&amp;$AP22)</formula1>
    </dataValidation>
    <dataValidation sqref="AV22" showDropDown="0" showInputMessage="0" showErrorMessage="1" allowBlank="1" errorTitle="Invalid hours" error="Enter 0 or more." type="decimal" operator="greaterThanOrEqual">
      <formula1>0</formula1>
    </dataValidation>
    <dataValidation sqref="AW22" showDropDown="0" showInputMessage="0" showErrorMessage="1" allowBlank="1" errorTitle="Invalid hours" error="Enter 0 or more." type="decimal" operator="greaterThanOrEqual">
      <formula1>0</formula1>
    </dataValidation>
    <dataValidation sqref="AZ22" showDropDown="0" showInputMessage="0" showErrorMessage="1" allowBlank="1" errorTitle="Invalid hours" error="Enter 0 or more." type="decimal" operator="greaterThanOrEqual">
      <formula1>0</formula1>
    </dataValidation>
    <dataValidation sqref="AQ23" showDropDown="0" showInputMessage="0" showErrorMessage="0" allowBlank="1" type="list">
      <formula1>=INDIRECT("WO_"&amp;$AP23)</formula1>
    </dataValidation>
    <dataValidation sqref="AR23" showDropDown="0" showInputMessage="0" showErrorMessage="0" allowBlank="1" type="list">
      <formula1>=INDIRECT("WO_"&amp;$AP23)</formula1>
    </dataValidation>
    <dataValidation sqref="AS23" showDropDown="0" showInputMessage="0" showErrorMessage="0" allowBlank="1" type="list">
      <formula1>=INDIRECT("WO_"&amp;$AP23)</formula1>
    </dataValidation>
    <dataValidation sqref="AT23" showDropDown="0" showInputMessage="0" showErrorMessage="0" allowBlank="1" type="list">
      <formula1>=INDIRECT("WO_"&amp;$AP23)</formula1>
    </dataValidation>
    <dataValidation sqref="AU23" showDropDown="0" showInputMessage="0" showErrorMessage="0" allowBlank="1" type="list">
      <formula1>=INDIRECT("WO_"&amp;$AP23)</formula1>
    </dataValidation>
    <dataValidation sqref="AV23" showDropDown="0" showInputMessage="0" showErrorMessage="1" allowBlank="1" errorTitle="Invalid hours" error="Enter 0 or more." type="decimal" operator="greaterThanOrEqual">
      <formula1>0</formula1>
    </dataValidation>
    <dataValidation sqref="AW23" showDropDown="0" showInputMessage="0" showErrorMessage="1" allowBlank="1" errorTitle="Invalid hours" error="Enter 0 or more." type="decimal" operator="greaterThanOrEqual">
      <formula1>0</formula1>
    </dataValidation>
    <dataValidation sqref="AZ23" showDropDown="0" showInputMessage="0" showErrorMessage="1" allowBlank="1" errorTitle="Invalid hours" error="Enter 0 or more." type="decimal" operator="greaterThanOrEqual">
      <formula1>0</formula1>
    </dataValidation>
    <dataValidation sqref="AQ24" showDropDown="0" showInputMessage="0" showErrorMessage="0" allowBlank="1" type="list">
      <formula1>=INDIRECT("WO_"&amp;$AP24)</formula1>
    </dataValidation>
    <dataValidation sqref="AR24" showDropDown="0" showInputMessage="0" showErrorMessage="0" allowBlank="1" type="list">
      <formula1>=INDIRECT("WO_"&amp;$AP24)</formula1>
    </dataValidation>
    <dataValidation sqref="AS24" showDropDown="0" showInputMessage="0" showErrorMessage="0" allowBlank="1" type="list">
      <formula1>=INDIRECT("WO_"&amp;$AP24)</formula1>
    </dataValidation>
    <dataValidation sqref="AT24" showDropDown="0" showInputMessage="0" showErrorMessage="0" allowBlank="1" type="list">
      <formula1>=INDIRECT("WO_"&amp;$AP24)</formula1>
    </dataValidation>
    <dataValidation sqref="AU24" showDropDown="0" showInputMessage="0" showErrorMessage="0" allowBlank="1" type="list">
      <formula1>=INDIRECT("WO_"&amp;$AP24)</formula1>
    </dataValidation>
    <dataValidation sqref="AV24" showDropDown="0" showInputMessage="0" showErrorMessage="1" allowBlank="1" errorTitle="Invalid hours" error="Enter 0 or more." type="decimal" operator="greaterThanOrEqual">
      <formula1>0</formula1>
    </dataValidation>
    <dataValidation sqref="AW24" showDropDown="0" showInputMessage="0" showErrorMessage="1" allowBlank="1" errorTitle="Invalid hours" error="Enter 0 or more." type="decimal" operator="greaterThanOrEqual">
      <formula1>0</formula1>
    </dataValidation>
    <dataValidation sqref="AZ24" showDropDown="0" showInputMessage="0" showErrorMessage="1" allowBlank="1" errorTitle="Invalid hours" error="Enter 0 or more." type="decimal" operator="greaterThanOrEqual">
      <formula1>0</formula1>
    </dataValidation>
    <dataValidation sqref="AQ25" showDropDown="0" showInputMessage="0" showErrorMessage="0" allowBlank="1" type="list">
      <formula1>=INDIRECT("WO_"&amp;$AP25)</formula1>
    </dataValidation>
    <dataValidation sqref="AR25" showDropDown="0" showInputMessage="0" showErrorMessage="0" allowBlank="1" type="list">
      <formula1>=INDIRECT("WO_"&amp;$AP25)</formula1>
    </dataValidation>
    <dataValidation sqref="AS25" showDropDown="0" showInputMessage="0" showErrorMessage="0" allowBlank="1" type="list">
      <formula1>=INDIRECT("WO_"&amp;$AP25)</formula1>
    </dataValidation>
    <dataValidation sqref="AT25" showDropDown="0" showInputMessage="0" showErrorMessage="0" allowBlank="1" type="list">
      <formula1>=INDIRECT("WO_"&amp;$AP25)</formula1>
    </dataValidation>
    <dataValidation sqref="AU25" showDropDown="0" showInputMessage="0" showErrorMessage="0" allowBlank="1" type="list">
      <formula1>=INDIRECT("WO_"&amp;$AP25)</formula1>
    </dataValidation>
    <dataValidation sqref="AV25" showDropDown="0" showInputMessage="0" showErrorMessage="1" allowBlank="1" errorTitle="Invalid hours" error="Enter 0 or more." type="decimal" operator="greaterThanOrEqual">
      <formula1>0</formula1>
    </dataValidation>
    <dataValidation sqref="AW25" showDropDown="0" showInputMessage="0" showErrorMessage="1" allowBlank="1" errorTitle="Invalid hours" error="Enter 0 or more." type="decimal" operator="greaterThanOrEqual">
      <formula1>0</formula1>
    </dataValidation>
    <dataValidation sqref="AZ25" showDropDown="0" showInputMessage="0" showErrorMessage="1" allowBlank="1" errorTitle="Invalid hours" error="Enter 0 or more." type="decimal" operator="greaterThanOrEqual">
      <formula1>0</formula1>
    </dataValidation>
    <dataValidation sqref="AQ26" showDropDown="0" showInputMessage="0" showErrorMessage="0" allowBlank="1" type="list">
      <formula1>=INDIRECT("WO_"&amp;$AP26)</formula1>
    </dataValidation>
    <dataValidation sqref="AR26" showDropDown="0" showInputMessage="0" showErrorMessage="0" allowBlank="1" type="list">
      <formula1>=INDIRECT("WO_"&amp;$AP26)</formula1>
    </dataValidation>
    <dataValidation sqref="AS26" showDropDown="0" showInputMessage="0" showErrorMessage="0" allowBlank="1" type="list">
      <formula1>=INDIRECT("WO_"&amp;$AP26)</formula1>
    </dataValidation>
    <dataValidation sqref="AT26" showDropDown="0" showInputMessage="0" showErrorMessage="0" allowBlank="1" type="list">
      <formula1>=INDIRECT("WO_"&amp;$AP26)</formula1>
    </dataValidation>
    <dataValidation sqref="AU26" showDropDown="0" showInputMessage="0" showErrorMessage="0" allowBlank="1" type="list">
      <formula1>=INDIRECT("WO_"&amp;$AP26)</formula1>
    </dataValidation>
    <dataValidation sqref="AV26" showDropDown="0" showInputMessage="0" showErrorMessage="1" allowBlank="1" errorTitle="Invalid hours" error="Enter 0 or more." type="decimal" operator="greaterThanOrEqual">
      <formula1>0</formula1>
    </dataValidation>
    <dataValidation sqref="AW26" showDropDown="0" showInputMessage="0" showErrorMessage="1" allowBlank="1" errorTitle="Invalid hours" error="Enter 0 or more." type="decimal" operator="greaterThanOrEqual">
      <formula1>0</formula1>
    </dataValidation>
    <dataValidation sqref="AZ26" showDropDown="0" showInputMessage="0" showErrorMessage="1" allowBlank="1" errorTitle="Invalid hours" error="Enter 0 or more." type="decimal" operator="greaterThanOrEqual">
      <formula1>0</formula1>
    </dataValidation>
    <dataValidation sqref="AQ27" showDropDown="0" showInputMessage="0" showErrorMessage="0" allowBlank="1" type="list">
      <formula1>=INDIRECT("WO_"&amp;$AP27)</formula1>
    </dataValidation>
    <dataValidation sqref="AR27" showDropDown="0" showInputMessage="0" showErrorMessage="0" allowBlank="1" type="list">
      <formula1>=INDIRECT("WO_"&amp;$AP27)</formula1>
    </dataValidation>
    <dataValidation sqref="AS27" showDropDown="0" showInputMessage="0" showErrorMessage="0" allowBlank="1" type="list">
      <formula1>=INDIRECT("WO_"&amp;$AP27)</formula1>
    </dataValidation>
    <dataValidation sqref="AT27" showDropDown="0" showInputMessage="0" showErrorMessage="0" allowBlank="1" type="list">
      <formula1>=INDIRECT("WO_"&amp;$AP27)</formula1>
    </dataValidation>
    <dataValidation sqref="AU27" showDropDown="0" showInputMessage="0" showErrorMessage="0" allowBlank="1" type="list">
      <formula1>=INDIRECT("WO_"&amp;$AP27)</formula1>
    </dataValidation>
    <dataValidation sqref="AV27" showDropDown="0" showInputMessage="0" showErrorMessage="1" allowBlank="1" errorTitle="Invalid hours" error="Enter 0 or more." type="decimal" operator="greaterThanOrEqual">
      <formula1>0</formula1>
    </dataValidation>
    <dataValidation sqref="AW27" showDropDown="0" showInputMessage="0" showErrorMessage="1" allowBlank="1" errorTitle="Invalid hours" error="Enter 0 or more." type="decimal" operator="greaterThanOrEqual">
      <formula1>0</formula1>
    </dataValidation>
    <dataValidation sqref="AZ27" showDropDown="0" showInputMessage="0" showErrorMessage="1" allowBlank="1" errorTitle="Invalid hours" error="Enter 0 or more." type="decimal" operator="greaterThanOrEqual">
      <formula1>0</formula1>
    </dataValidation>
    <dataValidation sqref="AQ28" showDropDown="0" showInputMessage="0" showErrorMessage="0" allowBlank="1" type="list">
      <formula1>=INDIRECT("WO_"&amp;$AP28)</formula1>
    </dataValidation>
    <dataValidation sqref="AR28" showDropDown="0" showInputMessage="0" showErrorMessage="0" allowBlank="1" type="list">
      <formula1>=INDIRECT("WO_"&amp;$AP28)</formula1>
    </dataValidation>
    <dataValidation sqref="AS28" showDropDown="0" showInputMessage="0" showErrorMessage="0" allowBlank="1" type="list">
      <formula1>=INDIRECT("WO_"&amp;$AP28)</formula1>
    </dataValidation>
    <dataValidation sqref="AT28" showDropDown="0" showInputMessage="0" showErrorMessage="0" allowBlank="1" type="list">
      <formula1>=INDIRECT("WO_"&amp;$AP28)</formula1>
    </dataValidation>
    <dataValidation sqref="AU28" showDropDown="0" showInputMessage="0" showErrorMessage="0" allowBlank="1" type="list">
      <formula1>=INDIRECT("WO_"&amp;$AP28)</formula1>
    </dataValidation>
    <dataValidation sqref="AV28" showDropDown="0" showInputMessage="0" showErrorMessage="1" allowBlank="1" errorTitle="Invalid hours" error="Enter 0 or more." type="decimal" operator="greaterThanOrEqual">
      <formula1>0</formula1>
    </dataValidation>
    <dataValidation sqref="AW28" showDropDown="0" showInputMessage="0" showErrorMessage="1" allowBlank="1" errorTitle="Invalid hours" error="Enter 0 or more." type="decimal" operator="greaterThanOrEqual">
      <formula1>0</formula1>
    </dataValidation>
    <dataValidation sqref="AZ28" showDropDown="0" showInputMessage="0" showErrorMessage="1" allowBlank="1" errorTitle="Invalid hours" error="Enter 0 or more." type="decimal" operator="greaterThanOrEqual">
      <formula1>0</formula1>
    </dataValidation>
    <dataValidation sqref="AQ29" showDropDown="0" showInputMessage="0" showErrorMessage="0" allowBlank="1" type="list">
      <formula1>=INDIRECT("WO_"&amp;$AP29)</formula1>
    </dataValidation>
    <dataValidation sqref="AR29" showDropDown="0" showInputMessage="0" showErrorMessage="0" allowBlank="1" type="list">
      <formula1>=INDIRECT("WO_"&amp;$AP29)</formula1>
    </dataValidation>
    <dataValidation sqref="AS29" showDropDown="0" showInputMessage="0" showErrorMessage="0" allowBlank="1" type="list">
      <formula1>=INDIRECT("WO_"&amp;$AP29)</formula1>
    </dataValidation>
    <dataValidation sqref="AT29" showDropDown="0" showInputMessage="0" showErrorMessage="0" allowBlank="1" type="list">
      <formula1>=INDIRECT("WO_"&amp;$AP29)</formula1>
    </dataValidation>
    <dataValidation sqref="AU29" showDropDown="0" showInputMessage="0" showErrorMessage="0" allowBlank="1" type="list">
      <formula1>=INDIRECT("WO_"&amp;$AP29)</formula1>
    </dataValidation>
    <dataValidation sqref="AV29" showDropDown="0" showInputMessage="0" showErrorMessage="1" allowBlank="1" errorTitle="Invalid hours" error="Enter 0 or more." type="decimal" operator="greaterThanOrEqual">
      <formula1>0</formula1>
    </dataValidation>
    <dataValidation sqref="AW29" showDropDown="0" showInputMessage="0" showErrorMessage="1" allowBlank="1" errorTitle="Invalid hours" error="Enter 0 or more." type="decimal" operator="greaterThanOrEqual">
      <formula1>0</formula1>
    </dataValidation>
    <dataValidation sqref="AZ29" showDropDown="0" showInputMessage="0" showErrorMessage="1" allowBlank="1" errorTitle="Invalid hours" error="Enter 0 or more." type="decimal" operator="greaterThanOrEqual">
      <formula1>0</formula1>
    </dataValidation>
    <dataValidation sqref="AQ30" showDropDown="0" showInputMessage="0" showErrorMessage="0" allowBlank="1" type="list">
      <formula1>=INDIRECT("WO_"&amp;$AP30)</formula1>
    </dataValidation>
    <dataValidation sqref="AR30" showDropDown="0" showInputMessage="0" showErrorMessage="0" allowBlank="1" type="list">
      <formula1>=INDIRECT("WO_"&amp;$AP30)</formula1>
    </dataValidation>
    <dataValidation sqref="AS30" showDropDown="0" showInputMessage="0" showErrorMessage="0" allowBlank="1" type="list">
      <formula1>=INDIRECT("WO_"&amp;$AP30)</formula1>
    </dataValidation>
    <dataValidation sqref="AT30" showDropDown="0" showInputMessage="0" showErrorMessage="0" allowBlank="1" type="list">
      <formula1>=INDIRECT("WO_"&amp;$AP30)</formula1>
    </dataValidation>
    <dataValidation sqref="AU30" showDropDown="0" showInputMessage="0" showErrorMessage="0" allowBlank="1" type="list">
      <formula1>=INDIRECT("WO_"&amp;$AP30)</formula1>
    </dataValidation>
    <dataValidation sqref="AV30" showDropDown="0" showInputMessage="0" showErrorMessage="1" allowBlank="1" errorTitle="Invalid hours" error="Enter 0 or more." type="decimal" operator="greaterThanOrEqual">
      <formula1>0</formula1>
    </dataValidation>
    <dataValidation sqref="AW30" showDropDown="0" showInputMessage="0" showErrorMessage="1" allowBlank="1" errorTitle="Invalid hours" error="Enter 0 or more." type="decimal" operator="greaterThanOrEqual">
      <formula1>0</formula1>
    </dataValidation>
    <dataValidation sqref="AZ30" showDropDown="0" showInputMessage="0" showErrorMessage="1" allowBlank="1" errorTitle="Invalid hours" error="Enter 0 or more." type="decimal" operator="greaterThanOrEqual">
      <formula1>0</formula1>
    </dataValidation>
    <dataValidation sqref="AQ31" showDropDown="0" showInputMessage="0" showErrorMessage="0" allowBlank="1" type="list">
      <formula1>=INDIRECT("WO_"&amp;$AP31)</formula1>
    </dataValidation>
    <dataValidation sqref="AR31" showDropDown="0" showInputMessage="0" showErrorMessage="0" allowBlank="1" type="list">
      <formula1>=INDIRECT("WO_"&amp;$AP31)</formula1>
    </dataValidation>
    <dataValidation sqref="AS31" showDropDown="0" showInputMessage="0" showErrorMessage="0" allowBlank="1" type="list">
      <formula1>=INDIRECT("WO_"&amp;$AP31)</formula1>
    </dataValidation>
    <dataValidation sqref="AT31" showDropDown="0" showInputMessage="0" showErrorMessage="0" allowBlank="1" type="list">
      <formula1>=INDIRECT("WO_"&amp;$AP31)</formula1>
    </dataValidation>
    <dataValidation sqref="AU31" showDropDown="0" showInputMessage="0" showErrorMessage="0" allowBlank="1" type="list">
      <formula1>=INDIRECT("WO_"&amp;$AP31)</formula1>
    </dataValidation>
    <dataValidation sqref="AV31" showDropDown="0" showInputMessage="0" showErrorMessage="1" allowBlank="1" errorTitle="Invalid hours" error="Enter 0 or more." type="decimal" operator="greaterThanOrEqual">
      <formula1>0</formula1>
    </dataValidation>
    <dataValidation sqref="AW31" showDropDown="0" showInputMessage="0" showErrorMessage="1" allowBlank="1" errorTitle="Invalid hours" error="Enter 0 or more." type="decimal" operator="greaterThanOrEqual">
      <formula1>0</formula1>
    </dataValidation>
    <dataValidation sqref="AZ31" showDropDown="0" showInputMessage="0" showErrorMessage="1" allowBlank="1" errorTitle="Invalid hours" error="Enter 0 or more." type="decimal" operator="greaterThanOrEqual">
      <formula1>0</formula1>
    </dataValidation>
    <dataValidation sqref="AQ32" showDropDown="0" showInputMessage="0" showErrorMessage="0" allowBlank="1" type="list">
      <formula1>=INDIRECT("WO_"&amp;$AP32)</formula1>
    </dataValidation>
    <dataValidation sqref="AR32" showDropDown="0" showInputMessage="0" showErrorMessage="0" allowBlank="1" type="list">
      <formula1>=INDIRECT("WO_"&amp;$AP32)</formula1>
    </dataValidation>
    <dataValidation sqref="AS32" showDropDown="0" showInputMessage="0" showErrorMessage="0" allowBlank="1" type="list">
      <formula1>=INDIRECT("WO_"&amp;$AP32)</formula1>
    </dataValidation>
    <dataValidation sqref="AT32" showDropDown="0" showInputMessage="0" showErrorMessage="0" allowBlank="1" type="list">
      <formula1>=INDIRECT("WO_"&amp;$AP32)</formula1>
    </dataValidation>
    <dataValidation sqref="AU32" showDropDown="0" showInputMessage="0" showErrorMessage="0" allowBlank="1" type="list">
      <formula1>=INDIRECT("WO_"&amp;$AP32)</formula1>
    </dataValidation>
    <dataValidation sqref="AV32" showDropDown="0" showInputMessage="0" showErrorMessage="1" allowBlank="1" errorTitle="Invalid hours" error="Enter 0 or more." type="decimal" operator="greaterThanOrEqual">
      <formula1>0</formula1>
    </dataValidation>
    <dataValidation sqref="AW32" showDropDown="0" showInputMessage="0" showErrorMessage="1" allowBlank="1" errorTitle="Invalid hours" error="Enter 0 or more." type="decimal" operator="greaterThanOrEqual">
      <formula1>0</formula1>
    </dataValidation>
    <dataValidation sqref="AZ32" showDropDown="0" showInputMessage="0" showErrorMessage="1" allowBlank="1" errorTitle="Invalid hours" error="Enter 0 or more." type="decimal" operator="greaterThanOrEqual">
      <formula1>0</formula1>
    </dataValidation>
    <dataValidation sqref="AQ33" showDropDown="0" showInputMessage="0" showErrorMessage="0" allowBlank="1" type="list">
      <formula1>=INDIRECT("WO_"&amp;$AP33)</formula1>
    </dataValidation>
    <dataValidation sqref="AR33" showDropDown="0" showInputMessage="0" showErrorMessage="0" allowBlank="1" type="list">
      <formula1>=INDIRECT("WO_"&amp;$AP33)</formula1>
    </dataValidation>
    <dataValidation sqref="AS33" showDropDown="0" showInputMessage="0" showErrorMessage="0" allowBlank="1" type="list">
      <formula1>=INDIRECT("WO_"&amp;$AP33)</formula1>
    </dataValidation>
    <dataValidation sqref="AT33" showDropDown="0" showInputMessage="0" showErrorMessage="0" allowBlank="1" type="list">
      <formula1>=INDIRECT("WO_"&amp;$AP33)</formula1>
    </dataValidation>
    <dataValidation sqref="AU33" showDropDown="0" showInputMessage="0" showErrorMessage="0" allowBlank="1" type="list">
      <formula1>=INDIRECT("WO_"&amp;$AP33)</formula1>
    </dataValidation>
    <dataValidation sqref="AV33" showDropDown="0" showInputMessage="0" showErrorMessage="1" allowBlank="1" errorTitle="Invalid hours" error="Enter 0 or more." type="decimal" operator="greaterThanOrEqual">
      <formula1>0</formula1>
    </dataValidation>
    <dataValidation sqref="AW33" showDropDown="0" showInputMessage="0" showErrorMessage="1" allowBlank="1" errorTitle="Invalid hours" error="Enter 0 or more." type="decimal" operator="greaterThanOrEqual">
      <formula1>0</formula1>
    </dataValidation>
    <dataValidation sqref="AZ33" showDropDown="0" showInputMessage="0" showErrorMessage="1" allowBlank="1" errorTitle="Invalid hours" error="Enter 0 or more." type="decimal" operator="greaterThanOrEqual">
      <formula1>0</formula1>
    </dataValidation>
    <dataValidation sqref="AQ34" showDropDown="0" showInputMessage="0" showErrorMessage="0" allowBlank="1" type="list">
      <formula1>=INDIRECT("WO_"&amp;$AP34)</formula1>
    </dataValidation>
    <dataValidation sqref="AR34" showDropDown="0" showInputMessage="0" showErrorMessage="0" allowBlank="1" type="list">
      <formula1>=INDIRECT("WO_"&amp;$AP34)</formula1>
    </dataValidation>
    <dataValidation sqref="AS34" showDropDown="0" showInputMessage="0" showErrorMessage="0" allowBlank="1" type="list">
      <formula1>=INDIRECT("WO_"&amp;$AP34)</formula1>
    </dataValidation>
    <dataValidation sqref="AT34" showDropDown="0" showInputMessage="0" showErrorMessage="0" allowBlank="1" type="list">
      <formula1>=INDIRECT("WO_"&amp;$AP34)</formula1>
    </dataValidation>
    <dataValidation sqref="AU34" showDropDown="0" showInputMessage="0" showErrorMessage="0" allowBlank="1" type="list">
      <formula1>=INDIRECT("WO_"&amp;$AP34)</formula1>
    </dataValidation>
    <dataValidation sqref="AV34" showDropDown="0" showInputMessage="0" showErrorMessage="1" allowBlank="1" errorTitle="Invalid hours" error="Enter 0 or more." type="decimal" operator="greaterThanOrEqual">
      <formula1>0</formula1>
    </dataValidation>
    <dataValidation sqref="AW34" showDropDown="0" showInputMessage="0" showErrorMessage="1" allowBlank="1" errorTitle="Invalid hours" error="Enter 0 or more." type="decimal" operator="greaterThanOrEqual">
      <formula1>0</formula1>
    </dataValidation>
    <dataValidation sqref="AZ34" showDropDown="0" showInputMessage="0" showErrorMessage="1" allowBlank="1" errorTitle="Invalid hours" error="Enter 0 or more." type="decimal" operator="greaterThanOrEqual">
      <formula1>0</formula1>
    </dataValidation>
    <dataValidation sqref="AQ35" showDropDown="0" showInputMessage="0" showErrorMessage="0" allowBlank="1" type="list">
      <formula1>=INDIRECT("WO_"&amp;$AP35)</formula1>
    </dataValidation>
    <dataValidation sqref="AR35" showDropDown="0" showInputMessage="0" showErrorMessage="0" allowBlank="1" type="list">
      <formula1>=INDIRECT("WO_"&amp;$AP35)</formula1>
    </dataValidation>
    <dataValidation sqref="AS35" showDropDown="0" showInputMessage="0" showErrorMessage="0" allowBlank="1" type="list">
      <formula1>=INDIRECT("WO_"&amp;$AP35)</formula1>
    </dataValidation>
    <dataValidation sqref="AT35" showDropDown="0" showInputMessage="0" showErrorMessage="0" allowBlank="1" type="list">
      <formula1>=INDIRECT("WO_"&amp;$AP35)</formula1>
    </dataValidation>
    <dataValidation sqref="AU35" showDropDown="0" showInputMessage="0" showErrorMessage="0" allowBlank="1" type="list">
      <formula1>=INDIRECT("WO_"&amp;$AP35)</formula1>
    </dataValidation>
    <dataValidation sqref="AV35" showDropDown="0" showInputMessage="0" showErrorMessage="1" allowBlank="1" errorTitle="Invalid hours" error="Enter 0 or more." type="decimal" operator="greaterThanOrEqual">
      <formula1>0</formula1>
    </dataValidation>
    <dataValidation sqref="AW35" showDropDown="0" showInputMessage="0" showErrorMessage="1" allowBlank="1" errorTitle="Invalid hours" error="Enter 0 or more." type="decimal" operator="greaterThanOrEqual">
      <formula1>0</formula1>
    </dataValidation>
    <dataValidation sqref="AZ35" showDropDown="0" showInputMessage="0" showErrorMessage="1" allowBlank="1" errorTitle="Invalid hours" error="Enter 0 or more." type="decimal" operator="greaterThanOrEqual">
      <formula1>0</formula1>
    </dataValidation>
    <dataValidation sqref="AQ36" showDropDown="0" showInputMessage="0" showErrorMessage="0" allowBlank="1" type="list">
      <formula1>=INDIRECT("WO_"&amp;$AP36)</formula1>
    </dataValidation>
    <dataValidation sqref="AR36" showDropDown="0" showInputMessage="0" showErrorMessage="0" allowBlank="1" type="list">
      <formula1>=INDIRECT("WO_"&amp;$AP36)</formula1>
    </dataValidation>
    <dataValidation sqref="AS36" showDropDown="0" showInputMessage="0" showErrorMessage="0" allowBlank="1" type="list">
      <formula1>=INDIRECT("WO_"&amp;$AP36)</formula1>
    </dataValidation>
    <dataValidation sqref="AT36" showDropDown="0" showInputMessage="0" showErrorMessage="0" allowBlank="1" type="list">
      <formula1>=INDIRECT("WO_"&amp;$AP36)</formula1>
    </dataValidation>
    <dataValidation sqref="AU36" showDropDown="0" showInputMessage="0" showErrorMessage="0" allowBlank="1" type="list">
      <formula1>=INDIRECT("WO_"&amp;$AP36)</formula1>
    </dataValidation>
    <dataValidation sqref="AV36" showDropDown="0" showInputMessage="0" showErrorMessage="1" allowBlank="1" errorTitle="Invalid hours" error="Enter 0 or more." type="decimal" operator="greaterThanOrEqual">
      <formula1>0</formula1>
    </dataValidation>
    <dataValidation sqref="AW36" showDropDown="0" showInputMessage="0" showErrorMessage="1" allowBlank="1" errorTitle="Invalid hours" error="Enter 0 or more." type="decimal" operator="greaterThanOrEqual">
      <formula1>0</formula1>
    </dataValidation>
    <dataValidation sqref="AZ36" showDropDown="0" showInputMessage="0" showErrorMessage="1" allowBlank="1" errorTitle="Invalid hours" error="Enter 0 or more." type="decimal" operator="greaterThanOrEqual">
      <formula1>0</formula1>
    </dataValidation>
    <dataValidation sqref="AQ37" showDropDown="0" showInputMessage="0" showErrorMessage="0" allowBlank="1" type="list">
      <formula1>=INDIRECT("WO_"&amp;$AP37)</formula1>
    </dataValidation>
    <dataValidation sqref="AR37" showDropDown="0" showInputMessage="0" showErrorMessage="0" allowBlank="1" type="list">
      <formula1>=INDIRECT("WO_"&amp;$AP37)</formula1>
    </dataValidation>
    <dataValidation sqref="AS37" showDropDown="0" showInputMessage="0" showErrorMessage="0" allowBlank="1" type="list">
      <formula1>=INDIRECT("WO_"&amp;$AP37)</formula1>
    </dataValidation>
    <dataValidation sqref="AT37" showDropDown="0" showInputMessage="0" showErrorMessage="0" allowBlank="1" type="list">
      <formula1>=INDIRECT("WO_"&amp;$AP37)</formula1>
    </dataValidation>
    <dataValidation sqref="AU37" showDropDown="0" showInputMessage="0" showErrorMessage="0" allowBlank="1" type="list">
      <formula1>=INDIRECT("WO_"&amp;$AP37)</formula1>
    </dataValidation>
    <dataValidation sqref="AV37" showDropDown="0" showInputMessage="0" showErrorMessage="1" allowBlank="1" errorTitle="Invalid hours" error="Enter 0 or more." type="decimal" operator="greaterThanOrEqual">
      <formula1>0</formula1>
    </dataValidation>
    <dataValidation sqref="AW37" showDropDown="0" showInputMessage="0" showErrorMessage="1" allowBlank="1" errorTitle="Invalid hours" error="Enter 0 or more." type="decimal" operator="greaterThanOrEqual">
      <formula1>0</formula1>
    </dataValidation>
    <dataValidation sqref="AZ37" showDropDown="0" showInputMessage="0" showErrorMessage="1" allowBlank="1" errorTitle="Invalid hours" error="Enter 0 or more." type="decimal" operator="greaterThanOrEqual">
      <formula1>0</formula1>
    </dataValidation>
    <dataValidation sqref="AQ38" showDropDown="0" showInputMessage="0" showErrorMessage="0" allowBlank="1" type="list">
      <formula1>=INDIRECT("WO_"&amp;$AP38)</formula1>
    </dataValidation>
    <dataValidation sqref="AR38" showDropDown="0" showInputMessage="0" showErrorMessage="0" allowBlank="1" type="list">
      <formula1>=INDIRECT("WO_"&amp;$AP38)</formula1>
    </dataValidation>
    <dataValidation sqref="AS38" showDropDown="0" showInputMessage="0" showErrorMessage="0" allowBlank="1" type="list">
      <formula1>=INDIRECT("WO_"&amp;$AP38)</formula1>
    </dataValidation>
    <dataValidation sqref="AT38" showDropDown="0" showInputMessage="0" showErrorMessage="0" allowBlank="1" type="list">
      <formula1>=INDIRECT("WO_"&amp;$AP38)</formula1>
    </dataValidation>
    <dataValidation sqref="AU38" showDropDown="0" showInputMessage="0" showErrorMessage="0" allowBlank="1" type="list">
      <formula1>=INDIRECT("WO_"&amp;$AP38)</formula1>
    </dataValidation>
    <dataValidation sqref="AV38" showDropDown="0" showInputMessage="0" showErrorMessage="1" allowBlank="1" errorTitle="Invalid hours" error="Enter 0 or more." type="decimal" operator="greaterThanOrEqual">
      <formula1>0</formula1>
    </dataValidation>
    <dataValidation sqref="AW38" showDropDown="0" showInputMessage="0" showErrorMessage="1" allowBlank="1" errorTitle="Invalid hours" error="Enter 0 or more." type="decimal" operator="greaterThanOrEqual">
      <formula1>0</formula1>
    </dataValidation>
    <dataValidation sqref="AZ38" showDropDown="0" showInputMessage="0" showErrorMessage="1" allowBlank="1" errorTitle="Invalid hours" error="Enter 0 or more." type="decimal" operator="greaterThanOrEqual">
      <formula1>0</formula1>
    </dataValidation>
    <dataValidation sqref="AQ39" showDropDown="0" showInputMessage="0" showErrorMessage="0" allowBlank="1" type="list">
      <formula1>=INDIRECT("WO_"&amp;$AP39)</formula1>
    </dataValidation>
    <dataValidation sqref="AR39" showDropDown="0" showInputMessage="0" showErrorMessage="0" allowBlank="1" type="list">
      <formula1>=INDIRECT("WO_"&amp;$AP39)</formula1>
    </dataValidation>
    <dataValidation sqref="AS39" showDropDown="0" showInputMessage="0" showErrorMessage="0" allowBlank="1" type="list">
      <formula1>=INDIRECT("WO_"&amp;$AP39)</formula1>
    </dataValidation>
    <dataValidation sqref="AT39" showDropDown="0" showInputMessage="0" showErrorMessage="0" allowBlank="1" type="list">
      <formula1>=INDIRECT("WO_"&amp;$AP39)</formula1>
    </dataValidation>
    <dataValidation sqref="AU39" showDropDown="0" showInputMessage="0" showErrorMessage="0" allowBlank="1" type="list">
      <formula1>=INDIRECT("WO_"&amp;$AP39)</formula1>
    </dataValidation>
    <dataValidation sqref="AV39" showDropDown="0" showInputMessage="0" showErrorMessage="1" allowBlank="1" errorTitle="Invalid hours" error="Enter 0 or more." type="decimal" operator="greaterThanOrEqual">
      <formula1>0</formula1>
    </dataValidation>
    <dataValidation sqref="AW39" showDropDown="0" showInputMessage="0" showErrorMessage="1" allowBlank="1" errorTitle="Invalid hours" error="Enter 0 or more." type="decimal" operator="greaterThanOrEqual">
      <formula1>0</formula1>
    </dataValidation>
    <dataValidation sqref="AZ39" showDropDown="0" showInputMessage="0" showErrorMessage="1" allowBlank="1" errorTitle="Invalid hours" error="Enter 0 or more." type="decimal" operator="greaterThanOrEqual">
      <formula1>0</formula1>
    </dataValidation>
    <dataValidation sqref="AQ40" showDropDown="0" showInputMessage="0" showErrorMessage="0" allowBlank="1" type="list">
      <formula1>=INDIRECT("WO_"&amp;$AP40)</formula1>
    </dataValidation>
    <dataValidation sqref="AR40" showDropDown="0" showInputMessage="0" showErrorMessage="0" allowBlank="1" type="list">
      <formula1>=INDIRECT("WO_"&amp;$AP40)</formula1>
    </dataValidation>
    <dataValidation sqref="AS40" showDropDown="0" showInputMessage="0" showErrorMessage="0" allowBlank="1" type="list">
      <formula1>=INDIRECT("WO_"&amp;$AP40)</formula1>
    </dataValidation>
    <dataValidation sqref="AT40" showDropDown="0" showInputMessage="0" showErrorMessage="0" allowBlank="1" type="list">
      <formula1>=INDIRECT("WO_"&amp;$AP40)</formula1>
    </dataValidation>
    <dataValidation sqref="AU40" showDropDown="0" showInputMessage="0" showErrorMessage="0" allowBlank="1" type="list">
      <formula1>=INDIRECT("WO_"&amp;$AP40)</formula1>
    </dataValidation>
    <dataValidation sqref="AV40" showDropDown="0" showInputMessage="0" showErrorMessage="1" allowBlank="1" errorTitle="Invalid hours" error="Enter 0 or more." type="decimal" operator="greaterThanOrEqual">
      <formula1>0</formula1>
    </dataValidation>
    <dataValidation sqref="AW40" showDropDown="0" showInputMessage="0" showErrorMessage="1" allowBlank="1" errorTitle="Invalid hours" error="Enter 0 or more." type="decimal" operator="greaterThanOrEqual">
      <formula1>0</formula1>
    </dataValidation>
    <dataValidation sqref="AZ40" showDropDown="0" showInputMessage="0" showErrorMessage="1" allowBlank="1" errorTitle="Invalid hours" error="Enter 0 or more." type="decimal" operator="greaterThanOrEqual">
      <formula1>0</formula1>
    </dataValidation>
    <dataValidation sqref="AQ41" showDropDown="0" showInputMessage="0" showErrorMessage="0" allowBlank="1" type="list">
      <formula1>=INDIRECT("WO_"&amp;$AP41)</formula1>
    </dataValidation>
    <dataValidation sqref="AR41" showDropDown="0" showInputMessage="0" showErrorMessage="0" allowBlank="1" type="list">
      <formula1>=INDIRECT("WO_"&amp;$AP41)</formula1>
    </dataValidation>
    <dataValidation sqref="AS41" showDropDown="0" showInputMessage="0" showErrorMessage="0" allowBlank="1" type="list">
      <formula1>=INDIRECT("WO_"&amp;$AP41)</formula1>
    </dataValidation>
    <dataValidation sqref="AT41" showDropDown="0" showInputMessage="0" showErrorMessage="0" allowBlank="1" type="list">
      <formula1>=INDIRECT("WO_"&amp;$AP41)</formula1>
    </dataValidation>
    <dataValidation sqref="AU41" showDropDown="0" showInputMessage="0" showErrorMessage="0" allowBlank="1" type="list">
      <formula1>=INDIRECT("WO_"&amp;$AP41)</formula1>
    </dataValidation>
    <dataValidation sqref="AV41" showDropDown="0" showInputMessage="0" showErrorMessage="1" allowBlank="1" errorTitle="Invalid hours" error="Enter 0 or more." type="decimal" operator="greaterThanOrEqual">
      <formula1>0</formula1>
    </dataValidation>
    <dataValidation sqref="AW41" showDropDown="0" showInputMessage="0" showErrorMessage="1" allowBlank="1" errorTitle="Invalid hours" error="Enter 0 or more." type="decimal" operator="greaterThanOrEqual">
      <formula1>0</formula1>
    </dataValidation>
    <dataValidation sqref="AZ41" showDropDown="0" showInputMessage="0" showErrorMessage="1" allowBlank="1" errorTitle="Invalid hours" error="Enter 0 or more." type="decimal" operator="greaterThanOrEqual">
      <formula1>0</formula1>
    </dataValidation>
    <dataValidation sqref="AQ42" showDropDown="0" showInputMessage="0" showErrorMessage="0" allowBlank="1" type="list">
      <formula1>=INDIRECT("WO_"&amp;$AP42)</formula1>
    </dataValidation>
    <dataValidation sqref="AR42" showDropDown="0" showInputMessage="0" showErrorMessage="0" allowBlank="1" type="list">
      <formula1>=INDIRECT("WO_"&amp;$AP42)</formula1>
    </dataValidation>
    <dataValidation sqref="AS42" showDropDown="0" showInputMessage="0" showErrorMessage="0" allowBlank="1" type="list">
      <formula1>=INDIRECT("WO_"&amp;$AP42)</formula1>
    </dataValidation>
    <dataValidation sqref="AT42" showDropDown="0" showInputMessage="0" showErrorMessage="0" allowBlank="1" type="list">
      <formula1>=INDIRECT("WO_"&amp;$AP42)</formula1>
    </dataValidation>
    <dataValidation sqref="AU42" showDropDown="0" showInputMessage="0" showErrorMessage="0" allowBlank="1" type="list">
      <formula1>=INDIRECT("WO_"&amp;$AP42)</formula1>
    </dataValidation>
    <dataValidation sqref="AV42" showDropDown="0" showInputMessage="0" showErrorMessage="1" allowBlank="1" errorTitle="Invalid hours" error="Enter 0 or more." type="decimal" operator="greaterThanOrEqual">
      <formula1>0</formula1>
    </dataValidation>
    <dataValidation sqref="AW42" showDropDown="0" showInputMessage="0" showErrorMessage="1" allowBlank="1" errorTitle="Invalid hours" error="Enter 0 or more." type="decimal" operator="greaterThanOrEqual">
      <formula1>0</formula1>
    </dataValidation>
    <dataValidation sqref="AZ42" showDropDown="0" showInputMessage="0" showErrorMessage="1" allowBlank="1" errorTitle="Invalid hours" error="Enter 0 or more." type="decimal" operator="greaterThanOrEqual">
      <formula1>0</formula1>
    </dataValidation>
    <dataValidation sqref="AQ43" showDropDown="0" showInputMessage="0" showErrorMessage="0" allowBlank="1" type="list">
      <formula1>=INDIRECT("WO_"&amp;$AP43)</formula1>
    </dataValidation>
    <dataValidation sqref="AR43" showDropDown="0" showInputMessage="0" showErrorMessage="0" allowBlank="1" type="list">
      <formula1>=INDIRECT("WO_"&amp;$AP43)</formula1>
    </dataValidation>
    <dataValidation sqref="AS43" showDropDown="0" showInputMessage="0" showErrorMessage="0" allowBlank="1" type="list">
      <formula1>=INDIRECT("WO_"&amp;$AP43)</formula1>
    </dataValidation>
    <dataValidation sqref="AT43" showDropDown="0" showInputMessage="0" showErrorMessage="0" allowBlank="1" type="list">
      <formula1>=INDIRECT("WO_"&amp;$AP43)</formula1>
    </dataValidation>
    <dataValidation sqref="AU43" showDropDown="0" showInputMessage="0" showErrorMessage="0" allowBlank="1" type="list">
      <formula1>=INDIRECT("WO_"&amp;$AP43)</formula1>
    </dataValidation>
    <dataValidation sqref="AV43" showDropDown="0" showInputMessage="0" showErrorMessage="1" allowBlank="1" errorTitle="Invalid hours" error="Enter 0 or more." type="decimal" operator="greaterThanOrEqual">
      <formula1>0</formula1>
    </dataValidation>
    <dataValidation sqref="AW43" showDropDown="0" showInputMessage="0" showErrorMessage="1" allowBlank="1" errorTitle="Invalid hours" error="Enter 0 or more." type="decimal" operator="greaterThanOrEqual">
      <formula1>0</formula1>
    </dataValidation>
    <dataValidation sqref="AZ43" showDropDown="0" showInputMessage="0" showErrorMessage="1" allowBlank="1" errorTitle="Invalid hours" error="Enter 0 or more." type="decimal" operator="greaterThanOrEqual">
      <formula1>0</formula1>
    </dataValidation>
    <dataValidation sqref="AQ44" showDropDown="0" showInputMessage="0" showErrorMessage="0" allowBlank="1" type="list">
      <formula1>=INDIRECT("WO_"&amp;$AP44)</formula1>
    </dataValidation>
    <dataValidation sqref="AR44" showDropDown="0" showInputMessage="0" showErrorMessage="0" allowBlank="1" type="list">
      <formula1>=INDIRECT("WO_"&amp;$AP44)</formula1>
    </dataValidation>
    <dataValidation sqref="AS44" showDropDown="0" showInputMessage="0" showErrorMessage="0" allowBlank="1" type="list">
      <formula1>=INDIRECT("WO_"&amp;$AP44)</formula1>
    </dataValidation>
    <dataValidation sqref="AT44" showDropDown="0" showInputMessage="0" showErrorMessage="0" allowBlank="1" type="list">
      <formula1>=INDIRECT("WO_"&amp;$AP44)</formula1>
    </dataValidation>
    <dataValidation sqref="AU44" showDropDown="0" showInputMessage="0" showErrorMessage="0" allowBlank="1" type="list">
      <formula1>=INDIRECT("WO_"&amp;$AP44)</formula1>
    </dataValidation>
    <dataValidation sqref="AV44" showDropDown="0" showInputMessage="0" showErrorMessage="1" allowBlank="1" errorTitle="Invalid hours" error="Enter 0 or more." type="decimal" operator="greaterThanOrEqual">
      <formula1>0</formula1>
    </dataValidation>
    <dataValidation sqref="AW44" showDropDown="0" showInputMessage="0" showErrorMessage="1" allowBlank="1" errorTitle="Invalid hours" error="Enter 0 or more." type="decimal" operator="greaterThanOrEqual">
      <formula1>0</formula1>
    </dataValidation>
    <dataValidation sqref="AZ44" showDropDown="0" showInputMessage="0" showErrorMessage="1" allowBlank="1" errorTitle="Invalid hours" error="Enter 0 or more." type="decimal" operator="greaterThanOrEqual">
      <formula1>0</formula1>
    </dataValidation>
    <dataValidation sqref="AQ45" showDropDown="0" showInputMessage="0" showErrorMessage="0" allowBlank="1" type="list">
      <formula1>=INDIRECT("WO_"&amp;$AP45)</formula1>
    </dataValidation>
    <dataValidation sqref="AR45" showDropDown="0" showInputMessage="0" showErrorMessage="0" allowBlank="1" type="list">
      <formula1>=INDIRECT("WO_"&amp;$AP45)</formula1>
    </dataValidation>
    <dataValidation sqref="AS45" showDropDown="0" showInputMessage="0" showErrorMessage="0" allowBlank="1" type="list">
      <formula1>=INDIRECT("WO_"&amp;$AP45)</formula1>
    </dataValidation>
    <dataValidation sqref="AT45" showDropDown="0" showInputMessage="0" showErrorMessage="0" allowBlank="1" type="list">
      <formula1>=INDIRECT("WO_"&amp;$AP45)</formula1>
    </dataValidation>
    <dataValidation sqref="AU45" showDropDown="0" showInputMessage="0" showErrorMessage="0" allowBlank="1" type="list">
      <formula1>=INDIRECT("WO_"&amp;$AP45)</formula1>
    </dataValidation>
    <dataValidation sqref="AV45" showDropDown="0" showInputMessage="0" showErrorMessage="1" allowBlank="1" errorTitle="Invalid hours" error="Enter 0 or more." type="decimal" operator="greaterThanOrEqual">
      <formula1>0</formula1>
    </dataValidation>
    <dataValidation sqref="AW45" showDropDown="0" showInputMessage="0" showErrorMessage="1" allowBlank="1" errorTitle="Invalid hours" error="Enter 0 or more." type="decimal" operator="greaterThanOrEqual">
      <formula1>0</formula1>
    </dataValidation>
    <dataValidation sqref="AZ45" showDropDown="0" showInputMessage="0" showErrorMessage="1" allowBlank="1" errorTitle="Invalid hours" error="Enter 0 or more." type="decimal" operator="greaterThanOrEqual">
      <formula1>0</formula1>
    </dataValidation>
    <dataValidation sqref="AQ46" showDropDown="0" showInputMessage="0" showErrorMessage="0" allowBlank="1" type="list">
      <formula1>=INDIRECT("WO_"&amp;$AP46)</formula1>
    </dataValidation>
    <dataValidation sqref="AR46" showDropDown="0" showInputMessage="0" showErrorMessage="0" allowBlank="1" type="list">
      <formula1>=INDIRECT("WO_"&amp;$AP46)</formula1>
    </dataValidation>
    <dataValidation sqref="AS46" showDropDown="0" showInputMessage="0" showErrorMessage="0" allowBlank="1" type="list">
      <formula1>=INDIRECT("WO_"&amp;$AP46)</formula1>
    </dataValidation>
    <dataValidation sqref="AT46" showDropDown="0" showInputMessage="0" showErrorMessage="0" allowBlank="1" type="list">
      <formula1>=INDIRECT("WO_"&amp;$AP46)</formula1>
    </dataValidation>
    <dataValidation sqref="AU46" showDropDown="0" showInputMessage="0" showErrorMessage="0" allowBlank="1" type="list">
      <formula1>=INDIRECT("WO_"&amp;$AP46)</formula1>
    </dataValidation>
    <dataValidation sqref="AV46" showDropDown="0" showInputMessage="0" showErrorMessage="1" allowBlank="1" errorTitle="Invalid hours" error="Enter 0 or more." type="decimal" operator="greaterThanOrEqual">
      <formula1>0</formula1>
    </dataValidation>
    <dataValidation sqref="AW46" showDropDown="0" showInputMessage="0" showErrorMessage="1" allowBlank="1" errorTitle="Invalid hours" error="Enter 0 or more." type="decimal" operator="greaterThanOrEqual">
      <formula1>0</formula1>
    </dataValidation>
    <dataValidation sqref="AZ46" showDropDown="0" showInputMessage="0" showErrorMessage="1" allowBlank="1" errorTitle="Invalid hours" error="Enter 0 or more." type="decimal" operator="greaterThanOrEqual">
      <formula1>0</formula1>
    </dataValidation>
    <dataValidation sqref="AQ47" showDropDown="0" showInputMessage="0" showErrorMessage="0" allowBlank="1" type="list">
      <formula1>=INDIRECT("WO_"&amp;$AP47)</formula1>
    </dataValidation>
    <dataValidation sqref="AR47" showDropDown="0" showInputMessage="0" showErrorMessage="0" allowBlank="1" type="list">
      <formula1>=INDIRECT("WO_"&amp;$AP47)</formula1>
    </dataValidation>
    <dataValidation sqref="AS47" showDropDown="0" showInputMessage="0" showErrorMessage="0" allowBlank="1" type="list">
      <formula1>=INDIRECT("WO_"&amp;$AP47)</formula1>
    </dataValidation>
    <dataValidation sqref="AT47" showDropDown="0" showInputMessage="0" showErrorMessage="0" allowBlank="1" type="list">
      <formula1>=INDIRECT("WO_"&amp;$AP47)</formula1>
    </dataValidation>
    <dataValidation sqref="AU47" showDropDown="0" showInputMessage="0" showErrorMessage="0" allowBlank="1" type="list">
      <formula1>=INDIRECT("WO_"&amp;$AP47)</formula1>
    </dataValidation>
    <dataValidation sqref="AV47" showDropDown="0" showInputMessage="0" showErrorMessage="1" allowBlank="1" errorTitle="Invalid hours" error="Enter 0 or more." type="decimal" operator="greaterThanOrEqual">
      <formula1>0</formula1>
    </dataValidation>
    <dataValidation sqref="AW47" showDropDown="0" showInputMessage="0" showErrorMessage="1" allowBlank="1" errorTitle="Invalid hours" error="Enter 0 or more." type="decimal" operator="greaterThanOrEqual">
      <formula1>0</formula1>
    </dataValidation>
    <dataValidation sqref="AZ47" showDropDown="0" showInputMessage="0" showErrorMessage="1" allowBlank="1" errorTitle="Invalid hours" error="Enter 0 or more." type="decimal" operator="greaterThanOrEqual">
      <formula1>0</formula1>
    </dataValidation>
    <dataValidation sqref="AQ48" showDropDown="0" showInputMessage="0" showErrorMessage="0" allowBlank="1" type="list">
      <formula1>=INDIRECT("WO_"&amp;$AP48)</formula1>
    </dataValidation>
    <dataValidation sqref="AR48" showDropDown="0" showInputMessage="0" showErrorMessage="0" allowBlank="1" type="list">
      <formula1>=INDIRECT("WO_"&amp;$AP48)</formula1>
    </dataValidation>
    <dataValidation sqref="AS48" showDropDown="0" showInputMessage="0" showErrorMessage="0" allowBlank="1" type="list">
      <formula1>=INDIRECT("WO_"&amp;$AP48)</formula1>
    </dataValidation>
    <dataValidation sqref="AT48" showDropDown="0" showInputMessage="0" showErrorMessage="0" allowBlank="1" type="list">
      <formula1>=INDIRECT("WO_"&amp;$AP48)</formula1>
    </dataValidation>
    <dataValidation sqref="AU48" showDropDown="0" showInputMessage="0" showErrorMessage="0" allowBlank="1" type="list">
      <formula1>=INDIRECT("WO_"&amp;$AP48)</formula1>
    </dataValidation>
    <dataValidation sqref="AV48" showDropDown="0" showInputMessage="0" showErrorMessage="1" allowBlank="1" errorTitle="Invalid hours" error="Enter 0 or more." type="decimal" operator="greaterThanOrEqual">
      <formula1>0</formula1>
    </dataValidation>
    <dataValidation sqref="AW48" showDropDown="0" showInputMessage="0" showErrorMessage="1" allowBlank="1" errorTitle="Invalid hours" error="Enter 0 or more." type="decimal" operator="greaterThanOrEqual">
      <formula1>0</formula1>
    </dataValidation>
    <dataValidation sqref="AZ48" showDropDown="0" showInputMessage="0" showErrorMessage="1" allowBlank="1" errorTitle="Invalid hours" error="Enter 0 or more." type="decimal" operator="greaterThanOrEqual">
      <formula1>0</formula1>
    </dataValidation>
    <dataValidation sqref="AN19:AN48" showDropDown="0" showInputMessage="0" showErrorMessage="0" allowBlank="1" type="list">
      <formula1>=EmpNames</formula1>
    </dataValidation>
    <dataValidation sqref="AO19:AO48" showDropDown="0" showInputMessage="0" showErrorMessage="0" allowBlank="1" type="list">
      <formula1>=TradeNames</formula1>
    </dataValidation>
    <dataValidation sqref="AP19:AP48" showDropDown="0" showInputMessage="0" showErrorMessage="0" allowBlank="1" type="list">
      <formula1>=WONames</formula1>
    </dataValidation>
    <dataValidation sqref="AY19:AY48" showDropDown="0" showInputMessage="0" showErrorMessage="0" allowBlank="1" type="list">
      <formula1>=LocList</formula1>
    </dataValidation>
    <dataValidation sqref="BA19:BA48" showDropDown="0" showInputMessage="0" showErrorMessage="0" allowBlank="1" type="list">
      <formula1>=OffsiteCatList</formula1>
    </dataValidation>
    <dataValidation sqref="BB19:BB48" showDropDown="0" showInputMessage="0" showErrorMessage="0" allowBlank="1" type="list">
      <formula1>=YNList</formula1>
    </dataValidation>
    <dataValidation sqref="BC19:BC48" showDropDown="0" showInputMessage="0" showErrorMessage="0" allowBlank="1" type="list">
      <formula1>=YNList</formula1>
    </dataValidation>
    <dataValidation sqref="BH17" showDropDown="0" showInputMessage="0" showErrorMessage="0" allowBlank="1" type="list">
      <formula1>=PONames</formula1>
    </dataValidation>
    <dataValidation sqref="BJ19" showDropDown="0" showInputMessage="0" showErrorMessage="0" allowBlank="1" type="list">
      <formula1>=INDIRECT("WO_"&amp;$BI19)</formula1>
    </dataValidation>
    <dataValidation sqref="BK19" showDropDown="0" showInputMessage="0" showErrorMessage="0" allowBlank="1" type="list">
      <formula1>=INDIRECT("WO_"&amp;$BI19)</formula1>
    </dataValidation>
    <dataValidation sqref="BL19" showDropDown="0" showInputMessage="0" showErrorMessage="0" allowBlank="1" type="list">
      <formula1>=INDIRECT("WO_"&amp;$BI19)</formula1>
    </dataValidation>
    <dataValidation sqref="BM19" showDropDown="0" showInputMessage="0" showErrorMessage="0" allowBlank="1" type="list">
      <formula1>=INDIRECT("WO_"&amp;$BI19)</formula1>
    </dataValidation>
    <dataValidation sqref="BN19" showDropDown="0" showInputMessage="0" showErrorMessage="0" allowBlank="1" type="list">
      <formula1>=INDIRECT("WO_"&amp;$BI19)</formula1>
    </dataValidation>
    <dataValidation sqref="BO19" showDropDown="0" showInputMessage="0" showErrorMessage="1" allowBlank="1" errorTitle="Invalid hours" error="Enter 0 or more." type="decimal" operator="greaterThanOrEqual">
      <formula1>0</formula1>
    </dataValidation>
    <dataValidation sqref="BP19" showDropDown="0" showInputMessage="0" showErrorMessage="1" allowBlank="1" errorTitle="Invalid hours" error="Enter 0 or more." type="decimal" operator="greaterThanOrEqual">
      <formula1>0</formula1>
    </dataValidation>
    <dataValidation sqref="BS19" showDropDown="0" showInputMessage="0" showErrorMessage="1" allowBlank="1" errorTitle="Invalid hours" error="Enter 0 or more." type="decimal" operator="greaterThanOrEqual">
      <formula1>0</formula1>
    </dataValidation>
    <dataValidation sqref="BJ20" showDropDown="0" showInputMessage="0" showErrorMessage="0" allowBlank="1" type="list">
      <formula1>=INDIRECT("WO_"&amp;$BI20)</formula1>
    </dataValidation>
    <dataValidation sqref="BK20" showDropDown="0" showInputMessage="0" showErrorMessage="0" allowBlank="1" type="list">
      <formula1>=INDIRECT("WO_"&amp;$BI20)</formula1>
    </dataValidation>
    <dataValidation sqref="BL20" showDropDown="0" showInputMessage="0" showErrorMessage="0" allowBlank="1" type="list">
      <formula1>=INDIRECT("WO_"&amp;$BI20)</formula1>
    </dataValidation>
    <dataValidation sqref="BM20" showDropDown="0" showInputMessage="0" showErrorMessage="0" allowBlank="1" type="list">
      <formula1>=INDIRECT("WO_"&amp;$BI20)</formula1>
    </dataValidation>
    <dataValidation sqref="BN20" showDropDown="0" showInputMessage="0" showErrorMessage="0" allowBlank="1" type="list">
      <formula1>=INDIRECT("WO_"&amp;$BI20)</formula1>
    </dataValidation>
    <dataValidation sqref="BO20" showDropDown="0" showInputMessage="0" showErrorMessage="1" allowBlank="1" errorTitle="Invalid hours" error="Enter 0 or more." type="decimal" operator="greaterThanOrEqual">
      <formula1>0</formula1>
    </dataValidation>
    <dataValidation sqref="BP20" showDropDown="0" showInputMessage="0" showErrorMessage="1" allowBlank="1" errorTitle="Invalid hours" error="Enter 0 or more." type="decimal" operator="greaterThanOrEqual">
      <formula1>0</formula1>
    </dataValidation>
    <dataValidation sqref="BS20" showDropDown="0" showInputMessage="0" showErrorMessage="1" allowBlank="1" errorTitle="Invalid hours" error="Enter 0 or more." type="decimal" operator="greaterThanOrEqual">
      <formula1>0</formula1>
    </dataValidation>
    <dataValidation sqref="BJ21" showDropDown="0" showInputMessage="0" showErrorMessage="0" allowBlank="1" type="list">
      <formula1>=INDIRECT("WO_"&amp;$BI21)</formula1>
    </dataValidation>
    <dataValidation sqref="BK21" showDropDown="0" showInputMessage="0" showErrorMessage="0" allowBlank="1" type="list">
      <formula1>=INDIRECT("WO_"&amp;$BI21)</formula1>
    </dataValidation>
    <dataValidation sqref="BL21" showDropDown="0" showInputMessage="0" showErrorMessage="0" allowBlank="1" type="list">
      <formula1>=INDIRECT("WO_"&amp;$BI21)</formula1>
    </dataValidation>
    <dataValidation sqref="BM21" showDropDown="0" showInputMessage="0" showErrorMessage="0" allowBlank="1" type="list">
      <formula1>=INDIRECT("WO_"&amp;$BI21)</formula1>
    </dataValidation>
    <dataValidation sqref="BN21" showDropDown="0" showInputMessage="0" showErrorMessage="0" allowBlank="1" type="list">
      <formula1>=INDIRECT("WO_"&amp;$BI21)</formula1>
    </dataValidation>
    <dataValidation sqref="BO21" showDropDown="0" showInputMessage="0" showErrorMessage="1" allowBlank="1" errorTitle="Invalid hours" error="Enter 0 or more." type="decimal" operator="greaterThanOrEqual">
      <formula1>0</formula1>
    </dataValidation>
    <dataValidation sqref="BP21" showDropDown="0" showInputMessage="0" showErrorMessage="1" allowBlank="1" errorTitle="Invalid hours" error="Enter 0 or more." type="decimal" operator="greaterThanOrEqual">
      <formula1>0</formula1>
    </dataValidation>
    <dataValidation sqref="BS21" showDropDown="0" showInputMessage="0" showErrorMessage="1" allowBlank="1" errorTitle="Invalid hours" error="Enter 0 or more." type="decimal" operator="greaterThanOrEqual">
      <formula1>0</formula1>
    </dataValidation>
    <dataValidation sqref="BJ22" showDropDown="0" showInputMessage="0" showErrorMessage="0" allowBlank="1" type="list">
      <formula1>=INDIRECT("WO_"&amp;$BI22)</formula1>
    </dataValidation>
    <dataValidation sqref="BK22" showDropDown="0" showInputMessage="0" showErrorMessage="0" allowBlank="1" type="list">
      <formula1>=INDIRECT("WO_"&amp;$BI22)</formula1>
    </dataValidation>
    <dataValidation sqref="BL22" showDropDown="0" showInputMessage="0" showErrorMessage="0" allowBlank="1" type="list">
      <formula1>=INDIRECT("WO_"&amp;$BI22)</formula1>
    </dataValidation>
    <dataValidation sqref="BM22" showDropDown="0" showInputMessage="0" showErrorMessage="0" allowBlank="1" type="list">
      <formula1>=INDIRECT("WO_"&amp;$BI22)</formula1>
    </dataValidation>
    <dataValidation sqref="BN22" showDropDown="0" showInputMessage="0" showErrorMessage="0" allowBlank="1" type="list">
      <formula1>=INDIRECT("WO_"&amp;$BI22)</formula1>
    </dataValidation>
    <dataValidation sqref="BO22" showDropDown="0" showInputMessage="0" showErrorMessage="1" allowBlank="1" errorTitle="Invalid hours" error="Enter 0 or more." type="decimal" operator="greaterThanOrEqual">
      <formula1>0</formula1>
    </dataValidation>
    <dataValidation sqref="BP22" showDropDown="0" showInputMessage="0" showErrorMessage="1" allowBlank="1" errorTitle="Invalid hours" error="Enter 0 or more." type="decimal" operator="greaterThanOrEqual">
      <formula1>0</formula1>
    </dataValidation>
    <dataValidation sqref="BS22" showDropDown="0" showInputMessage="0" showErrorMessage="1" allowBlank="1" errorTitle="Invalid hours" error="Enter 0 or more." type="decimal" operator="greaterThanOrEqual">
      <formula1>0</formula1>
    </dataValidation>
    <dataValidation sqref="BJ23" showDropDown="0" showInputMessage="0" showErrorMessage="0" allowBlank="1" type="list">
      <formula1>=INDIRECT("WO_"&amp;$BI23)</formula1>
    </dataValidation>
    <dataValidation sqref="BK23" showDropDown="0" showInputMessage="0" showErrorMessage="0" allowBlank="1" type="list">
      <formula1>=INDIRECT("WO_"&amp;$BI23)</formula1>
    </dataValidation>
    <dataValidation sqref="BL23" showDropDown="0" showInputMessage="0" showErrorMessage="0" allowBlank="1" type="list">
      <formula1>=INDIRECT("WO_"&amp;$BI23)</formula1>
    </dataValidation>
    <dataValidation sqref="BM23" showDropDown="0" showInputMessage="0" showErrorMessage="0" allowBlank="1" type="list">
      <formula1>=INDIRECT("WO_"&amp;$BI23)</formula1>
    </dataValidation>
    <dataValidation sqref="BN23" showDropDown="0" showInputMessage="0" showErrorMessage="0" allowBlank="1" type="list">
      <formula1>=INDIRECT("WO_"&amp;$BI23)</formula1>
    </dataValidation>
    <dataValidation sqref="BO23" showDropDown="0" showInputMessage="0" showErrorMessage="1" allowBlank="1" errorTitle="Invalid hours" error="Enter 0 or more." type="decimal" operator="greaterThanOrEqual">
      <formula1>0</formula1>
    </dataValidation>
    <dataValidation sqref="BP23" showDropDown="0" showInputMessage="0" showErrorMessage="1" allowBlank="1" errorTitle="Invalid hours" error="Enter 0 or more." type="decimal" operator="greaterThanOrEqual">
      <formula1>0</formula1>
    </dataValidation>
    <dataValidation sqref="BS23" showDropDown="0" showInputMessage="0" showErrorMessage="1" allowBlank="1" errorTitle="Invalid hours" error="Enter 0 or more." type="decimal" operator="greaterThanOrEqual">
      <formula1>0</formula1>
    </dataValidation>
    <dataValidation sqref="BJ24" showDropDown="0" showInputMessage="0" showErrorMessage="0" allowBlank="1" type="list">
      <formula1>=INDIRECT("WO_"&amp;$BI24)</formula1>
    </dataValidation>
    <dataValidation sqref="BK24" showDropDown="0" showInputMessage="0" showErrorMessage="0" allowBlank="1" type="list">
      <formula1>=INDIRECT("WO_"&amp;$BI24)</formula1>
    </dataValidation>
    <dataValidation sqref="BL24" showDropDown="0" showInputMessage="0" showErrorMessage="0" allowBlank="1" type="list">
      <formula1>=INDIRECT("WO_"&amp;$BI24)</formula1>
    </dataValidation>
    <dataValidation sqref="BM24" showDropDown="0" showInputMessage="0" showErrorMessage="0" allowBlank="1" type="list">
      <formula1>=INDIRECT("WO_"&amp;$BI24)</formula1>
    </dataValidation>
    <dataValidation sqref="BN24" showDropDown="0" showInputMessage="0" showErrorMessage="0" allowBlank="1" type="list">
      <formula1>=INDIRECT("WO_"&amp;$BI24)</formula1>
    </dataValidation>
    <dataValidation sqref="BO24" showDropDown="0" showInputMessage="0" showErrorMessage="1" allowBlank="1" errorTitle="Invalid hours" error="Enter 0 or more." type="decimal" operator="greaterThanOrEqual">
      <formula1>0</formula1>
    </dataValidation>
    <dataValidation sqref="BP24" showDropDown="0" showInputMessage="0" showErrorMessage="1" allowBlank="1" errorTitle="Invalid hours" error="Enter 0 or more." type="decimal" operator="greaterThanOrEqual">
      <formula1>0</formula1>
    </dataValidation>
    <dataValidation sqref="BS24" showDropDown="0" showInputMessage="0" showErrorMessage="1" allowBlank="1" errorTitle="Invalid hours" error="Enter 0 or more." type="decimal" operator="greaterThanOrEqual">
      <formula1>0</formula1>
    </dataValidation>
    <dataValidation sqref="BJ25" showDropDown="0" showInputMessage="0" showErrorMessage="0" allowBlank="1" type="list">
      <formula1>=INDIRECT("WO_"&amp;$BI25)</formula1>
    </dataValidation>
    <dataValidation sqref="BK25" showDropDown="0" showInputMessage="0" showErrorMessage="0" allowBlank="1" type="list">
      <formula1>=INDIRECT("WO_"&amp;$BI25)</formula1>
    </dataValidation>
    <dataValidation sqref="BL25" showDropDown="0" showInputMessage="0" showErrorMessage="0" allowBlank="1" type="list">
      <formula1>=INDIRECT("WO_"&amp;$BI25)</formula1>
    </dataValidation>
    <dataValidation sqref="BM25" showDropDown="0" showInputMessage="0" showErrorMessage="0" allowBlank="1" type="list">
      <formula1>=INDIRECT("WO_"&amp;$BI25)</formula1>
    </dataValidation>
    <dataValidation sqref="BN25" showDropDown="0" showInputMessage="0" showErrorMessage="0" allowBlank="1" type="list">
      <formula1>=INDIRECT("WO_"&amp;$BI25)</formula1>
    </dataValidation>
    <dataValidation sqref="BO25" showDropDown="0" showInputMessage="0" showErrorMessage="1" allowBlank="1" errorTitle="Invalid hours" error="Enter 0 or more." type="decimal" operator="greaterThanOrEqual">
      <formula1>0</formula1>
    </dataValidation>
    <dataValidation sqref="BP25" showDropDown="0" showInputMessage="0" showErrorMessage="1" allowBlank="1" errorTitle="Invalid hours" error="Enter 0 or more." type="decimal" operator="greaterThanOrEqual">
      <formula1>0</formula1>
    </dataValidation>
    <dataValidation sqref="BS25" showDropDown="0" showInputMessage="0" showErrorMessage="1" allowBlank="1" errorTitle="Invalid hours" error="Enter 0 or more." type="decimal" operator="greaterThanOrEqual">
      <formula1>0</formula1>
    </dataValidation>
    <dataValidation sqref="BJ26" showDropDown="0" showInputMessage="0" showErrorMessage="0" allowBlank="1" type="list">
      <formula1>=INDIRECT("WO_"&amp;$BI26)</formula1>
    </dataValidation>
    <dataValidation sqref="BK26" showDropDown="0" showInputMessage="0" showErrorMessage="0" allowBlank="1" type="list">
      <formula1>=INDIRECT("WO_"&amp;$BI26)</formula1>
    </dataValidation>
    <dataValidation sqref="BL26" showDropDown="0" showInputMessage="0" showErrorMessage="0" allowBlank="1" type="list">
      <formula1>=INDIRECT("WO_"&amp;$BI26)</formula1>
    </dataValidation>
    <dataValidation sqref="BM26" showDropDown="0" showInputMessage="0" showErrorMessage="0" allowBlank="1" type="list">
      <formula1>=INDIRECT("WO_"&amp;$BI26)</formula1>
    </dataValidation>
    <dataValidation sqref="BN26" showDropDown="0" showInputMessage="0" showErrorMessage="0" allowBlank="1" type="list">
      <formula1>=INDIRECT("WO_"&amp;$BI26)</formula1>
    </dataValidation>
    <dataValidation sqref="BO26" showDropDown="0" showInputMessage="0" showErrorMessage="1" allowBlank="1" errorTitle="Invalid hours" error="Enter 0 or more." type="decimal" operator="greaterThanOrEqual">
      <formula1>0</formula1>
    </dataValidation>
    <dataValidation sqref="BP26" showDropDown="0" showInputMessage="0" showErrorMessage="1" allowBlank="1" errorTitle="Invalid hours" error="Enter 0 or more." type="decimal" operator="greaterThanOrEqual">
      <formula1>0</formula1>
    </dataValidation>
    <dataValidation sqref="BS26" showDropDown="0" showInputMessage="0" showErrorMessage="1" allowBlank="1" errorTitle="Invalid hours" error="Enter 0 or more." type="decimal" operator="greaterThanOrEqual">
      <formula1>0</formula1>
    </dataValidation>
    <dataValidation sqref="BJ27" showDropDown="0" showInputMessage="0" showErrorMessage="0" allowBlank="1" type="list">
      <formula1>=INDIRECT("WO_"&amp;$BI27)</formula1>
    </dataValidation>
    <dataValidation sqref="BK27" showDropDown="0" showInputMessage="0" showErrorMessage="0" allowBlank="1" type="list">
      <formula1>=INDIRECT("WO_"&amp;$BI27)</formula1>
    </dataValidation>
    <dataValidation sqref="BL27" showDropDown="0" showInputMessage="0" showErrorMessage="0" allowBlank="1" type="list">
      <formula1>=INDIRECT("WO_"&amp;$BI27)</formula1>
    </dataValidation>
    <dataValidation sqref="BM27" showDropDown="0" showInputMessage="0" showErrorMessage="0" allowBlank="1" type="list">
      <formula1>=INDIRECT("WO_"&amp;$BI27)</formula1>
    </dataValidation>
    <dataValidation sqref="BN27" showDropDown="0" showInputMessage="0" showErrorMessage="0" allowBlank="1" type="list">
      <formula1>=INDIRECT("WO_"&amp;$BI27)</formula1>
    </dataValidation>
    <dataValidation sqref="BO27" showDropDown="0" showInputMessage="0" showErrorMessage="1" allowBlank="1" errorTitle="Invalid hours" error="Enter 0 or more." type="decimal" operator="greaterThanOrEqual">
      <formula1>0</formula1>
    </dataValidation>
    <dataValidation sqref="BP27" showDropDown="0" showInputMessage="0" showErrorMessage="1" allowBlank="1" errorTitle="Invalid hours" error="Enter 0 or more." type="decimal" operator="greaterThanOrEqual">
      <formula1>0</formula1>
    </dataValidation>
    <dataValidation sqref="BS27" showDropDown="0" showInputMessage="0" showErrorMessage="1" allowBlank="1" errorTitle="Invalid hours" error="Enter 0 or more." type="decimal" operator="greaterThanOrEqual">
      <formula1>0</formula1>
    </dataValidation>
    <dataValidation sqref="BJ28" showDropDown="0" showInputMessage="0" showErrorMessage="0" allowBlank="1" type="list">
      <formula1>=INDIRECT("WO_"&amp;$BI28)</formula1>
    </dataValidation>
    <dataValidation sqref="BK28" showDropDown="0" showInputMessage="0" showErrorMessage="0" allowBlank="1" type="list">
      <formula1>=INDIRECT("WO_"&amp;$BI28)</formula1>
    </dataValidation>
    <dataValidation sqref="BL28" showDropDown="0" showInputMessage="0" showErrorMessage="0" allowBlank="1" type="list">
      <formula1>=INDIRECT("WO_"&amp;$BI28)</formula1>
    </dataValidation>
    <dataValidation sqref="BM28" showDropDown="0" showInputMessage="0" showErrorMessage="0" allowBlank="1" type="list">
      <formula1>=INDIRECT("WO_"&amp;$BI28)</formula1>
    </dataValidation>
    <dataValidation sqref="BN28" showDropDown="0" showInputMessage="0" showErrorMessage="0" allowBlank="1" type="list">
      <formula1>=INDIRECT("WO_"&amp;$BI28)</formula1>
    </dataValidation>
    <dataValidation sqref="BO28" showDropDown="0" showInputMessage="0" showErrorMessage="1" allowBlank="1" errorTitle="Invalid hours" error="Enter 0 or more." type="decimal" operator="greaterThanOrEqual">
      <formula1>0</formula1>
    </dataValidation>
    <dataValidation sqref="BP28" showDropDown="0" showInputMessage="0" showErrorMessage="1" allowBlank="1" errorTitle="Invalid hours" error="Enter 0 or more." type="decimal" operator="greaterThanOrEqual">
      <formula1>0</formula1>
    </dataValidation>
    <dataValidation sqref="BS28" showDropDown="0" showInputMessage="0" showErrorMessage="1" allowBlank="1" errorTitle="Invalid hours" error="Enter 0 or more." type="decimal" operator="greaterThanOrEqual">
      <formula1>0</formula1>
    </dataValidation>
    <dataValidation sqref="BJ29" showDropDown="0" showInputMessage="0" showErrorMessage="0" allowBlank="1" type="list">
      <formula1>=INDIRECT("WO_"&amp;$BI29)</formula1>
    </dataValidation>
    <dataValidation sqref="BK29" showDropDown="0" showInputMessage="0" showErrorMessage="0" allowBlank="1" type="list">
      <formula1>=INDIRECT("WO_"&amp;$BI29)</formula1>
    </dataValidation>
    <dataValidation sqref="BL29" showDropDown="0" showInputMessage="0" showErrorMessage="0" allowBlank="1" type="list">
      <formula1>=INDIRECT("WO_"&amp;$BI29)</formula1>
    </dataValidation>
    <dataValidation sqref="BM29" showDropDown="0" showInputMessage="0" showErrorMessage="0" allowBlank="1" type="list">
      <formula1>=INDIRECT("WO_"&amp;$BI29)</formula1>
    </dataValidation>
    <dataValidation sqref="BN29" showDropDown="0" showInputMessage="0" showErrorMessage="0" allowBlank="1" type="list">
      <formula1>=INDIRECT("WO_"&amp;$BI29)</formula1>
    </dataValidation>
    <dataValidation sqref="BO29" showDropDown="0" showInputMessage="0" showErrorMessage="1" allowBlank="1" errorTitle="Invalid hours" error="Enter 0 or more." type="decimal" operator="greaterThanOrEqual">
      <formula1>0</formula1>
    </dataValidation>
    <dataValidation sqref="BP29" showDropDown="0" showInputMessage="0" showErrorMessage="1" allowBlank="1" errorTitle="Invalid hours" error="Enter 0 or more." type="decimal" operator="greaterThanOrEqual">
      <formula1>0</formula1>
    </dataValidation>
    <dataValidation sqref="BS29" showDropDown="0" showInputMessage="0" showErrorMessage="1" allowBlank="1" errorTitle="Invalid hours" error="Enter 0 or more." type="decimal" operator="greaterThanOrEqual">
      <formula1>0</formula1>
    </dataValidation>
    <dataValidation sqref="BJ30" showDropDown="0" showInputMessage="0" showErrorMessage="0" allowBlank="1" type="list">
      <formula1>=INDIRECT("WO_"&amp;$BI30)</formula1>
    </dataValidation>
    <dataValidation sqref="BK30" showDropDown="0" showInputMessage="0" showErrorMessage="0" allowBlank="1" type="list">
      <formula1>=INDIRECT("WO_"&amp;$BI30)</formula1>
    </dataValidation>
    <dataValidation sqref="BL30" showDropDown="0" showInputMessage="0" showErrorMessage="0" allowBlank="1" type="list">
      <formula1>=INDIRECT("WO_"&amp;$BI30)</formula1>
    </dataValidation>
    <dataValidation sqref="BM30" showDropDown="0" showInputMessage="0" showErrorMessage="0" allowBlank="1" type="list">
      <formula1>=INDIRECT("WO_"&amp;$BI30)</formula1>
    </dataValidation>
    <dataValidation sqref="BN30" showDropDown="0" showInputMessage="0" showErrorMessage="0" allowBlank="1" type="list">
      <formula1>=INDIRECT("WO_"&amp;$BI30)</formula1>
    </dataValidation>
    <dataValidation sqref="BO30" showDropDown="0" showInputMessage="0" showErrorMessage="1" allowBlank="1" errorTitle="Invalid hours" error="Enter 0 or more." type="decimal" operator="greaterThanOrEqual">
      <formula1>0</formula1>
    </dataValidation>
    <dataValidation sqref="BP30" showDropDown="0" showInputMessage="0" showErrorMessage="1" allowBlank="1" errorTitle="Invalid hours" error="Enter 0 or more." type="decimal" operator="greaterThanOrEqual">
      <formula1>0</formula1>
    </dataValidation>
    <dataValidation sqref="BS30" showDropDown="0" showInputMessage="0" showErrorMessage="1" allowBlank="1" errorTitle="Invalid hours" error="Enter 0 or more." type="decimal" operator="greaterThanOrEqual">
      <formula1>0</formula1>
    </dataValidation>
    <dataValidation sqref="BJ31" showDropDown="0" showInputMessage="0" showErrorMessage="0" allowBlank="1" type="list">
      <formula1>=INDIRECT("WO_"&amp;$BI31)</formula1>
    </dataValidation>
    <dataValidation sqref="BK31" showDropDown="0" showInputMessage="0" showErrorMessage="0" allowBlank="1" type="list">
      <formula1>=INDIRECT("WO_"&amp;$BI31)</formula1>
    </dataValidation>
    <dataValidation sqref="BL31" showDropDown="0" showInputMessage="0" showErrorMessage="0" allowBlank="1" type="list">
      <formula1>=INDIRECT("WO_"&amp;$BI31)</formula1>
    </dataValidation>
    <dataValidation sqref="BM31" showDropDown="0" showInputMessage="0" showErrorMessage="0" allowBlank="1" type="list">
      <formula1>=INDIRECT("WO_"&amp;$BI31)</formula1>
    </dataValidation>
    <dataValidation sqref="BN31" showDropDown="0" showInputMessage="0" showErrorMessage="0" allowBlank="1" type="list">
      <formula1>=INDIRECT("WO_"&amp;$BI31)</formula1>
    </dataValidation>
    <dataValidation sqref="BO31" showDropDown="0" showInputMessage="0" showErrorMessage="1" allowBlank="1" errorTitle="Invalid hours" error="Enter 0 or more." type="decimal" operator="greaterThanOrEqual">
      <formula1>0</formula1>
    </dataValidation>
    <dataValidation sqref="BP31" showDropDown="0" showInputMessage="0" showErrorMessage="1" allowBlank="1" errorTitle="Invalid hours" error="Enter 0 or more." type="decimal" operator="greaterThanOrEqual">
      <formula1>0</formula1>
    </dataValidation>
    <dataValidation sqref="BS31" showDropDown="0" showInputMessage="0" showErrorMessage="1" allowBlank="1" errorTitle="Invalid hours" error="Enter 0 or more." type="decimal" operator="greaterThanOrEqual">
      <formula1>0</formula1>
    </dataValidation>
    <dataValidation sqref="BJ32" showDropDown="0" showInputMessage="0" showErrorMessage="0" allowBlank="1" type="list">
      <formula1>=INDIRECT("WO_"&amp;$BI32)</formula1>
    </dataValidation>
    <dataValidation sqref="BK32" showDropDown="0" showInputMessage="0" showErrorMessage="0" allowBlank="1" type="list">
      <formula1>=INDIRECT("WO_"&amp;$BI32)</formula1>
    </dataValidation>
    <dataValidation sqref="BL32" showDropDown="0" showInputMessage="0" showErrorMessage="0" allowBlank="1" type="list">
      <formula1>=INDIRECT("WO_"&amp;$BI32)</formula1>
    </dataValidation>
    <dataValidation sqref="BM32" showDropDown="0" showInputMessage="0" showErrorMessage="0" allowBlank="1" type="list">
      <formula1>=INDIRECT("WO_"&amp;$BI32)</formula1>
    </dataValidation>
    <dataValidation sqref="BN32" showDropDown="0" showInputMessage="0" showErrorMessage="0" allowBlank="1" type="list">
      <formula1>=INDIRECT("WO_"&amp;$BI32)</formula1>
    </dataValidation>
    <dataValidation sqref="BO32" showDropDown="0" showInputMessage="0" showErrorMessage="1" allowBlank="1" errorTitle="Invalid hours" error="Enter 0 or more." type="decimal" operator="greaterThanOrEqual">
      <formula1>0</formula1>
    </dataValidation>
    <dataValidation sqref="BP32" showDropDown="0" showInputMessage="0" showErrorMessage="1" allowBlank="1" errorTitle="Invalid hours" error="Enter 0 or more." type="decimal" operator="greaterThanOrEqual">
      <formula1>0</formula1>
    </dataValidation>
    <dataValidation sqref="BS32" showDropDown="0" showInputMessage="0" showErrorMessage="1" allowBlank="1" errorTitle="Invalid hours" error="Enter 0 or more." type="decimal" operator="greaterThanOrEqual">
      <formula1>0</formula1>
    </dataValidation>
    <dataValidation sqref="BJ33" showDropDown="0" showInputMessage="0" showErrorMessage="0" allowBlank="1" type="list">
      <formula1>=INDIRECT("WO_"&amp;$BI33)</formula1>
    </dataValidation>
    <dataValidation sqref="BK33" showDropDown="0" showInputMessage="0" showErrorMessage="0" allowBlank="1" type="list">
      <formula1>=INDIRECT("WO_"&amp;$BI33)</formula1>
    </dataValidation>
    <dataValidation sqref="BL33" showDropDown="0" showInputMessage="0" showErrorMessage="0" allowBlank="1" type="list">
      <formula1>=INDIRECT("WO_"&amp;$BI33)</formula1>
    </dataValidation>
    <dataValidation sqref="BM33" showDropDown="0" showInputMessage="0" showErrorMessage="0" allowBlank="1" type="list">
      <formula1>=INDIRECT("WO_"&amp;$BI33)</formula1>
    </dataValidation>
    <dataValidation sqref="BN33" showDropDown="0" showInputMessage="0" showErrorMessage="0" allowBlank="1" type="list">
      <formula1>=INDIRECT("WO_"&amp;$BI33)</formula1>
    </dataValidation>
    <dataValidation sqref="BO33" showDropDown="0" showInputMessage="0" showErrorMessage="1" allowBlank="1" errorTitle="Invalid hours" error="Enter 0 or more." type="decimal" operator="greaterThanOrEqual">
      <formula1>0</formula1>
    </dataValidation>
    <dataValidation sqref="BP33" showDropDown="0" showInputMessage="0" showErrorMessage="1" allowBlank="1" errorTitle="Invalid hours" error="Enter 0 or more." type="decimal" operator="greaterThanOrEqual">
      <formula1>0</formula1>
    </dataValidation>
    <dataValidation sqref="BS33" showDropDown="0" showInputMessage="0" showErrorMessage="1" allowBlank="1" errorTitle="Invalid hours" error="Enter 0 or more." type="decimal" operator="greaterThanOrEqual">
      <formula1>0</formula1>
    </dataValidation>
    <dataValidation sqref="BJ34" showDropDown="0" showInputMessage="0" showErrorMessage="0" allowBlank="1" type="list">
      <formula1>=INDIRECT("WO_"&amp;$BI34)</formula1>
    </dataValidation>
    <dataValidation sqref="BK34" showDropDown="0" showInputMessage="0" showErrorMessage="0" allowBlank="1" type="list">
      <formula1>=INDIRECT("WO_"&amp;$BI34)</formula1>
    </dataValidation>
    <dataValidation sqref="BL34" showDropDown="0" showInputMessage="0" showErrorMessage="0" allowBlank="1" type="list">
      <formula1>=INDIRECT("WO_"&amp;$BI34)</formula1>
    </dataValidation>
    <dataValidation sqref="BM34" showDropDown="0" showInputMessage="0" showErrorMessage="0" allowBlank="1" type="list">
      <formula1>=INDIRECT("WO_"&amp;$BI34)</formula1>
    </dataValidation>
    <dataValidation sqref="BN34" showDropDown="0" showInputMessage="0" showErrorMessage="0" allowBlank="1" type="list">
      <formula1>=INDIRECT("WO_"&amp;$BI34)</formula1>
    </dataValidation>
    <dataValidation sqref="BO34" showDropDown="0" showInputMessage="0" showErrorMessage="1" allowBlank="1" errorTitle="Invalid hours" error="Enter 0 or more." type="decimal" operator="greaterThanOrEqual">
      <formula1>0</formula1>
    </dataValidation>
    <dataValidation sqref="BP34" showDropDown="0" showInputMessage="0" showErrorMessage="1" allowBlank="1" errorTitle="Invalid hours" error="Enter 0 or more." type="decimal" operator="greaterThanOrEqual">
      <formula1>0</formula1>
    </dataValidation>
    <dataValidation sqref="BS34" showDropDown="0" showInputMessage="0" showErrorMessage="1" allowBlank="1" errorTitle="Invalid hours" error="Enter 0 or more." type="decimal" operator="greaterThanOrEqual">
      <formula1>0</formula1>
    </dataValidation>
    <dataValidation sqref="BJ35" showDropDown="0" showInputMessage="0" showErrorMessage="0" allowBlank="1" type="list">
      <formula1>=INDIRECT("WO_"&amp;$BI35)</formula1>
    </dataValidation>
    <dataValidation sqref="BK35" showDropDown="0" showInputMessage="0" showErrorMessage="0" allowBlank="1" type="list">
      <formula1>=INDIRECT("WO_"&amp;$BI35)</formula1>
    </dataValidation>
    <dataValidation sqref="BL35" showDropDown="0" showInputMessage="0" showErrorMessage="0" allowBlank="1" type="list">
      <formula1>=INDIRECT("WO_"&amp;$BI35)</formula1>
    </dataValidation>
    <dataValidation sqref="BM35" showDropDown="0" showInputMessage="0" showErrorMessage="0" allowBlank="1" type="list">
      <formula1>=INDIRECT("WO_"&amp;$BI35)</formula1>
    </dataValidation>
    <dataValidation sqref="BN35" showDropDown="0" showInputMessage="0" showErrorMessage="0" allowBlank="1" type="list">
      <formula1>=INDIRECT("WO_"&amp;$BI35)</formula1>
    </dataValidation>
    <dataValidation sqref="BO35" showDropDown="0" showInputMessage="0" showErrorMessage="1" allowBlank="1" errorTitle="Invalid hours" error="Enter 0 or more." type="decimal" operator="greaterThanOrEqual">
      <formula1>0</formula1>
    </dataValidation>
    <dataValidation sqref="BP35" showDropDown="0" showInputMessage="0" showErrorMessage="1" allowBlank="1" errorTitle="Invalid hours" error="Enter 0 or more." type="decimal" operator="greaterThanOrEqual">
      <formula1>0</formula1>
    </dataValidation>
    <dataValidation sqref="BS35" showDropDown="0" showInputMessage="0" showErrorMessage="1" allowBlank="1" errorTitle="Invalid hours" error="Enter 0 or more." type="decimal" operator="greaterThanOrEqual">
      <formula1>0</formula1>
    </dataValidation>
    <dataValidation sqref="BJ36" showDropDown="0" showInputMessage="0" showErrorMessage="0" allowBlank="1" type="list">
      <formula1>=INDIRECT("WO_"&amp;$BI36)</formula1>
    </dataValidation>
    <dataValidation sqref="BK36" showDropDown="0" showInputMessage="0" showErrorMessage="0" allowBlank="1" type="list">
      <formula1>=INDIRECT("WO_"&amp;$BI36)</formula1>
    </dataValidation>
    <dataValidation sqref="BL36" showDropDown="0" showInputMessage="0" showErrorMessage="0" allowBlank="1" type="list">
      <formula1>=INDIRECT("WO_"&amp;$BI36)</formula1>
    </dataValidation>
    <dataValidation sqref="BM36" showDropDown="0" showInputMessage="0" showErrorMessage="0" allowBlank="1" type="list">
      <formula1>=INDIRECT("WO_"&amp;$BI36)</formula1>
    </dataValidation>
    <dataValidation sqref="BN36" showDropDown="0" showInputMessage="0" showErrorMessage="0" allowBlank="1" type="list">
      <formula1>=INDIRECT("WO_"&amp;$BI36)</formula1>
    </dataValidation>
    <dataValidation sqref="BO36" showDropDown="0" showInputMessage="0" showErrorMessage="1" allowBlank="1" errorTitle="Invalid hours" error="Enter 0 or more." type="decimal" operator="greaterThanOrEqual">
      <formula1>0</formula1>
    </dataValidation>
    <dataValidation sqref="BP36" showDropDown="0" showInputMessage="0" showErrorMessage="1" allowBlank="1" errorTitle="Invalid hours" error="Enter 0 or more." type="decimal" operator="greaterThanOrEqual">
      <formula1>0</formula1>
    </dataValidation>
    <dataValidation sqref="BS36" showDropDown="0" showInputMessage="0" showErrorMessage="1" allowBlank="1" errorTitle="Invalid hours" error="Enter 0 or more." type="decimal" operator="greaterThanOrEqual">
      <formula1>0</formula1>
    </dataValidation>
    <dataValidation sqref="BJ37" showDropDown="0" showInputMessage="0" showErrorMessage="0" allowBlank="1" type="list">
      <formula1>=INDIRECT("WO_"&amp;$BI37)</formula1>
    </dataValidation>
    <dataValidation sqref="BK37" showDropDown="0" showInputMessage="0" showErrorMessage="0" allowBlank="1" type="list">
      <formula1>=INDIRECT("WO_"&amp;$BI37)</formula1>
    </dataValidation>
    <dataValidation sqref="BL37" showDropDown="0" showInputMessage="0" showErrorMessage="0" allowBlank="1" type="list">
      <formula1>=INDIRECT("WO_"&amp;$BI37)</formula1>
    </dataValidation>
    <dataValidation sqref="BM37" showDropDown="0" showInputMessage="0" showErrorMessage="0" allowBlank="1" type="list">
      <formula1>=INDIRECT("WO_"&amp;$BI37)</formula1>
    </dataValidation>
    <dataValidation sqref="BN37" showDropDown="0" showInputMessage="0" showErrorMessage="0" allowBlank="1" type="list">
      <formula1>=INDIRECT("WO_"&amp;$BI37)</formula1>
    </dataValidation>
    <dataValidation sqref="BO37" showDropDown="0" showInputMessage="0" showErrorMessage="1" allowBlank="1" errorTitle="Invalid hours" error="Enter 0 or more." type="decimal" operator="greaterThanOrEqual">
      <formula1>0</formula1>
    </dataValidation>
    <dataValidation sqref="BP37" showDropDown="0" showInputMessage="0" showErrorMessage="1" allowBlank="1" errorTitle="Invalid hours" error="Enter 0 or more." type="decimal" operator="greaterThanOrEqual">
      <formula1>0</formula1>
    </dataValidation>
    <dataValidation sqref="BS37" showDropDown="0" showInputMessage="0" showErrorMessage="1" allowBlank="1" errorTitle="Invalid hours" error="Enter 0 or more." type="decimal" operator="greaterThanOrEqual">
      <formula1>0</formula1>
    </dataValidation>
    <dataValidation sqref="BJ38" showDropDown="0" showInputMessage="0" showErrorMessage="0" allowBlank="1" type="list">
      <formula1>=INDIRECT("WO_"&amp;$BI38)</formula1>
    </dataValidation>
    <dataValidation sqref="BK38" showDropDown="0" showInputMessage="0" showErrorMessage="0" allowBlank="1" type="list">
      <formula1>=INDIRECT("WO_"&amp;$BI38)</formula1>
    </dataValidation>
    <dataValidation sqref="BL38" showDropDown="0" showInputMessage="0" showErrorMessage="0" allowBlank="1" type="list">
      <formula1>=INDIRECT("WO_"&amp;$BI38)</formula1>
    </dataValidation>
    <dataValidation sqref="BM38" showDropDown="0" showInputMessage="0" showErrorMessage="0" allowBlank="1" type="list">
      <formula1>=INDIRECT("WO_"&amp;$BI38)</formula1>
    </dataValidation>
    <dataValidation sqref="BN38" showDropDown="0" showInputMessage="0" showErrorMessage="0" allowBlank="1" type="list">
      <formula1>=INDIRECT("WO_"&amp;$BI38)</formula1>
    </dataValidation>
    <dataValidation sqref="BO38" showDropDown="0" showInputMessage="0" showErrorMessage="1" allowBlank="1" errorTitle="Invalid hours" error="Enter 0 or more." type="decimal" operator="greaterThanOrEqual">
      <formula1>0</formula1>
    </dataValidation>
    <dataValidation sqref="BP38" showDropDown="0" showInputMessage="0" showErrorMessage="1" allowBlank="1" errorTitle="Invalid hours" error="Enter 0 or more." type="decimal" operator="greaterThanOrEqual">
      <formula1>0</formula1>
    </dataValidation>
    <dataValidation sqref="BS38" showDropDown="0" showInputMessage="0" showErrorMessage="1" allowBlank="1" errorTitle="Invalid hours" error="Enter 0 or more." type="decimal" operator="greaterThanOrEqual">
      <formula1>0</formula1>
    </dataValidation>
    <dataValidation sqref="BJ39" showDropDown="0" showInputMessage="0" showErrorMessage="0" allowBlank="1" type="list">
      <formula1>=INDIRECT("WO_"&amp;$BI39)</formula1>
    </dataValidation>
    <dataValidation sqref="BK39" showDropDown="0" showInputMessage="0" showErrorMessage="0" allowBlank="1" type="list">
      <formula1>=INDIRECT("WO_"&amp;$BI39)</formula1>
    </dataValidation>
    <dataValidation sqref="BL39" showDropDown="0" showInputMessage="0" showErrorMessage="0" allowBlank="1" type="list">
      <formula1>=INDIRECT("WO_"&amp;$BI39)</formula1>
    </dataValidation>
    <dataValidation sqref="BM39" showDropDown="0" showInputMessage="0" showErrorMessage="0" allowBlank="1" type="list">
      <formula1>=INDIRECT("WO_"&amp;$BI39)</formula1>
    </dataValidation>
    <dataValidation sqref="BN39" showDropDown="0" showInputMessage="0" showErrorMessage="0" allowBlank="1" type="list">
      <formula1>=INDIRECT("WO_"&amp;$BI39)</formula1>
    </dataValidation>
    <dataValidation sqref="BO39" showDropDown="0" showInputMessage="0" showErrorMessage="1" allowBlank="1" errorTitle="Invalid hours" error="Enter 0 or more." type="decimal" operator="greaterThanOrEqual">
      <formula1>0</formula1>
    </dataValidation>
    <dataValidation sqref="BP39" showDropDown="0" showInputMessage="0" showErrorMessage="1" allowBlank="1" errorTitle="Invalid hours" error="Enter 0 or more." type="decimal" operator="greaterThanOrEqual">
      <formula1>0</formula1>
    </dataValidation>
    <dataValidation sqref="BS39" showDropDown="0" showInputMessage="0" showErrorMessage="1" allowBlank="1" errorTitle="Invalid hours" error="Enter 0 or more." type="decimal" operator="greaterThanOrEqual">
      <formula1>0</formula1>
    </dataValidation>
    <dataValidation sqref="BJ40" showDropDown="0" showInputMessage="0" showErrorMessage="0" allowBlank="1" type="list">
      <formula1>=INDIRECT("WO_"&amp;$BI40)</formula1>
    </dataValidation>
    <dataValidation sqref="BK40" showDropDown="0" showInputMessage="0" showErrorMessage="0" allowBlank="1" type="list">
      <formula1>=INDIRECT("WO_"&amp;$BI40)</formula1>
    </dataValidation>
    <dataValidation sqref="BL40" showDropDown="0" showInputMessage="0" showErrorMessage="0" allowBlank="1" type="list">
      <formula1>=INDIRECT("WO_"&amp;$BI40)</formula1>
    </dataValidation>
    <dataValidation sqref="BM40" showDropDown="0" showInputMessage="0" showErrorMessage="0" allowBlank="1" type="list">
      <formula1>=INDIRECT("WO_"&amp;$BI40)</formula1>
    </dataValidation>
    <dataValidation sqref="BN40" showDropDown="0" showInputMessage="0" showErrorMessage="0" allowBlank="1" type="list">
      <formula1>=INDIRECT("WO_"&amp;$BI40)</formula1>
    </dataValidation>
    <dataValidation sqref="BO40" showDropDown="0" showInputMessage="0" showErrorMessage="1" allowBlank="1" errorTitle="Invalid hours" error="Enter 0 or more." type="decimal" operator="greaterThanOrEqual">
      <formula1>0</formula1>
    </dataValidation>
    <dataValidation sqref="BP40" showDropDown="0" showInputMessage="0" showErrorMessage="1" allowBlank="1" errorTitle="Invalid hours" error="Enter 0 or more." type="decimal" operator="greaterThanOrEqual">
      <formula1>0</formula1>
    </dataValidation>
    <dataValidation sqref="BS40" showDropDown="0" showInputMessage="0" showErrorMessage="1" allowBlank="1" errorTitle="Invalid hours" error="Enter 0 or more." type="decimal" operator="greaterThanOrEqual">
      <formula1>0</formula1>
    </dataValidation>
    <dataValidation sqref="BJ41" showDropDown="0" showInputMessage="0" showErrorMessage="0" allowBlank="1" type="list">
      <formula1>=INDIRECT("WO_"&amp;$BI41)</formula1>
    </dataValidation>
    <dataValidation sqref="BK41" showDropDown="0" showInputMessage="0" showErrorMessage="0" allowBlank="1" type="list">
      <formula1>=INDIRECT("WO_"&amp;$BI41)</formula1>
    </dataValidation>
    <dataValidation sqref="BL41" showDropDown="0" showInputMessage="0" showErrorMessage="0" allowBlank="1" type="list">
      <formula1>=INDIRECT("WO_"&amp;$BI41)</formula1>
    </dataValidation>
    <dataValidation sqref="BM41" showDropDown="0" showInputMessage="0" showErrorMessage="0" allowBlank="1" type="list">
      <formula1>=INDIRECT("WO_"&amp;$BI41)</formula1>
    </dataValidation>
    <dataValidation sqref="BN41" showDropDown="0" showInputMessage="0" showErrorMessage="0" allowBlank="1" type="list">
      <formula1>=INDIRECT("WO_"&amp;$BI41)</formula1>
    </dataValidation>
    <dataValidation sqref="BO41" showDropDown="0" showInputMessage="0" showErrorMessage="1" allowBlank="1" errorTitle="Invalid hours" error="Enter 0 or more." type="decimal" operator="greaterThanOrEqual">
      <formula1>0</formula1>
    </dataValidation>
    <dataValidation sqref="BP41" showDropDown="0" showInputMessage="0" showErrorMessage="1" allowBlank="1" errorTitle="Invalid hours" error="Enter 0 or more." type="decimal" operator="greaterThanOrEqual">
      <formula1>0</formula1>
    </dataValidation>
    <dataValidation sqref="BS41" showDropDown="0" showInputMessage="0" showErrorMessage="1" allowBlank="1" errorTitle="Invalid hours" error="Enter 0 or more." type="decimal" operator="greaterThanOrEqual">
      <formula1>0</formula1>
    </dataValidation>
    <dataValidation sqref="BJ42" showDropDown="0" showInputMessage="0" showErrorMessage="0" allowBlank="1" type="list">
      <formula1>=INDIRECT("WO_"&amp;$BI42)</formula1>
    </dataValidation>
    <dataValidation sqref="BK42" showDropDown="0" showInputMessage="0" showErrorMessage="0" allowBlank="1" type="list">
      <formula1>=INDIRECT("WO_"&amp;$BI42)</formula1>
    </dataValidation>
    <dataValidation sqref="BL42" showDropDown="0" showInputMessage="0" showErrorMessage="0" allowBlank="1" type="list">
      <formula1>=INDIRECT("WO_"&amp;$BI42)</formula1>
    </dataValidation>
    <dataValidation sqref="BM42" showDropDown="0" showInputMessage="0" showErrorMessage="0" allowBlank="1" type="list">
      <formula1>=INDIRECT("WO_"&amp;$BI42)</formula1>
    </dataValidation>
    <dataValidation sqref="BN42" showDropDown="0" showInputMessage="0" showErrorMessage="0" allowBlank="1" type="list">
      <formula1>=INDIRECT("WO_"&amp;$BI42)</formula1>
    </dataValidation>
    <dataValidation sqref="BO42" showDropDown="0" showInputMessage="0" showErrorMessage="1" allowBlank="1" errorTitle="Invalid hours" error="Enter 0 or more." type="decimal" operator="greaterThanOrEqual">
      <formula1>0</formula1>
    </dataValidation>
    <dataValidation sqref="BP42" showDropDown="0" showInputMessage="0" showErrorMessage="1" allowBlank="1" errorTitle="Invalid hours" error="Enter 0 or more." type="decimal" operator="greaterThanOrEqual">
      <formula1>0</formula1>
    </dataValidation>
    <dataValidation sqref="BS42" showDropDown="0" showInputMessage="0" showErrorMessage="1" allowBlank="1" errorTitle="Invalid hours" error="Enter 0 or more." type="decimal" operator="greaterThanOrEqual">
      <formula1>0</formula1>
    </dataValidation>
    <dataValidation sqref="BJ43" showDropDown="0" showInputMessage="0" showErrorMessage="0" allowBlank="1" type="list">
      <formula1>=INDIRECT("WO_"&amp;$BI43)</formula1>
    </dataValidation>
    <dataValidation sqref="BK43" showDropDown="0" showInputMessage="0" showErrorMessage="0" allowBlank="1" type="list">
      <formula1>=INDIRECT("WO_"&amp;$BI43)</formula1>
    </dataValidation>
    <dataValidation sqref="BL43" showDropDown="0" showInputMessage="0" showErrorMessage="0" allowBlank="1" type="list">
      <formula1>=INDIRECT("WO_"&amp;$BI43)</formula1>
    </dataValidation>
    <dataValidation sqref="BM43" showDropDown="0" showInputMessage="0" showErrorMessage="0" allowBlank="1" type="list">
      <formula1>=INDIRECT("WO_"&amp;$BI43)</formula1>
    </dataValidation>
    <dataValidation sqref="BN43" showDropDown="0" showInputMessage="0" showErrorMessage="0" allowBlank="1" type="list">
      <formula1>=INDIRECT("WO_"&amp;$BI43)</formula1>
    </dataValidation>
    <dataValidation sqref="BO43" showDropDown="0" showInputMessage="0" showErrorMessage="1" allowBlank="1" errorTitle="Invalid hours" error="Enter 0 or more." type="decimal" operator="greaterThanOrEqual">
      <formula1>0</formula1>
    </dataValidation>
    <dataValidation sqref="BP43" showDropDown="0" showInputMessage="0" showErrorMessage="1" allowBlank="1" errorTitle="Invalid hours" error="Enter 0 or more." type="decimal" operator="greaterThanOrEqual">
      <formula1>0</formula1>
    </dataValidation>
    <dataValidation sqref="BS43" showDropDown="0" showInputMessage="0" showErrorMessage="1" allowBlank="1" errorTitle="Invalid hours" error="Enter 0 or more." type="decimal" operator="greaterThanOrEqual">
      <formula1>0</formula1>
    </dataValidation>
    <dataValidation sqref="BJ44" showDropDown="0" showInputMessage="0" showErrorMessage="0" allowBlank="1" type="list">
      <formula1>=INDIRECT("WO_"&amp;$BI44)</formula1>
    </dataValidation>
    <dataValidation sqref="BK44" showDropDown="0" showInputMessage="0" showErrorMessage="0" allowBlank="1" type="list">
      <formula1>=INDIRECT("WO_"&amp;$BI44)</formula1>
    </dataValidation>
    <dataValidation sqref="BL44" showDropDown="0" showInputMessage="0" showErrorMessage="0" allowBlank="1" type="list">
      <formula1>=INDIRECT("WO_"&amp;$BI44)</formula1>
    </dataValidation>
    <dataValidation sqref="BM44" showDropDown="0" showInputMessage="0" showErrorMessage="0" allowBlank="1" type="list">
      <formula1>=INDIRECT("WO_"&amp;$BI44)</formula1>
    </dataValidation>
    <dataValidation sqref="BN44" showDropDown="0" showInputMessage="0" showErrorMessage="0" allowBlank="1" type="list">
      <formula1>=INDIRECT("WO_"&amp;$BI44)</formula1>
    </dataValidation>
    <dataValidation sqref="BO44" showDropDown="0" showInputMessage="0" showErrorMessage="1" allowBlank="1" errorTitle="Invalid hours" error="Enter 0 or more." type="decimal" operator="greaterThanOrEqual">
      <formula1>0</formula1>
    </dataValidation>
    <dataValidation sqref="BP44" showDropDown="0" showInputMessage="0" showErrorMessage="1" allowBlank="1" errorTitle="Invalid hours" error="Enter 0 or more." type="decimal" operator="greaterThanOrEqual">
      <formula1>0</formula1>
    </dataValidation>
    <dataValidation sqref="BS44" showDropDown="0" showInputMessage="0" showErrorMessage="1" allowBlank="1" errorTitle="Invalid hours" error="Enter 0 or more." type="decimal" operator="greaterThanOrEqual">
      <formula1>0</formula1>
    </dataValidation>
    <dataValidation sqref="BJ45" showDropDown="0" showInputMessage="0" showErrorMessage="0" allowBlank="1" type="list">
      <formula1>=INDIRECT("WO_"&amp;$BI45)</formula1>
    </dataValidation>
    <dataValidation sqref="BK45" showDropDown="0" showInputMessage="0" showErrorMessage="0" allowBlank="1" type="list">
      <formula1>=INDIRECT("WO_"&amp;$BI45)</formula1>
    </dataValidation>
    <dataValidation sqref="BL45" showDropDown="0" showInputMessage="0" showErrorMessage="0" allowBlank="1" type="list">
      <formula1>=INDIRECT("WO_"&amp;$BI45)</formula1>
    </dataValidation>
    <dataValidation sqref="BM45" showDropDown="0" showInputMessage="0" showErrorMessage="0" allowBlank="1" type="list">
      <formula1>=INDIRECT("WO_"&amp;$BI45)</formula1>
    </dataValidation>
    <dataValidation sqref="BN45" showDropDown="0" showInputMessage="0" showErrorMessage="0" allowBlank="1" type="list">
      <formula1>=INDIRECT("WO_"&amp;$BI45)</formula1>
    </dataValidation>
    <dataValidation sqref="BO45" showDropDown="0" showInputMessage="0" showErrorMessage="1" allowBlank="1" errorTitle="Invalid hours" error="Enter 0 or more." type="decimal" operator="greaterThanOrEqual">
      <formula1>0</formula1>
    </dataValidation>
    <dataValidation sqref="BP45" showDropDown="0" showInputMessage="0" showErrorMessage="1" allowBlank="1" errorTitle="Invalid hours" error="Enter 0 or more." type="decimal" operator="greaterThanOrEqual">
      <formula1>0</formula1>
    </dataValidation>
    <dataValidation sqref="BS45" showDropDown="0" showInputMessage="0" showErrorMessage="1" allowBlank="1" errorTitle="Invalid hours" error="Enter 0 or more." type="decimal" operator="greaterThanOrEqual">
      <formula1>0</formula1>
    </dataValidation>
    <dataValidation sqref="BJ46" showDropDown="0" showInputMessage="0" showErrorMessage="0" allowBlank="1" type="list">
      <formula1>=INDIRECT("WO_"&amp;$BI46)</formula1>
    </dataValidation>
    <dataValidation sqref="BK46" showDropDown="0" showInputMessage="0" showErrorMessage="0" allowBlank="1" type="list">
      <formula1>=INDIRECT("WO_"&amp;$BI46)</formula1>
    </dataValidation>
    <dataValidation sqref="BL46" showDropDown="0" showInputMessage="0" showErrorMessage="0" allowBlank="1" type="list">
      <formula1>=INDIRECT("WO_"&amp;$BI46)</formula1>
    </dataValidation>
    <dataValidation sqref="BM46" showDropDown="0" showInputMessage="0" showErrorMessage="0" allowBlank="1" type="list">
      <formula1>=INDIRECT("WO_"&amp;$BI46)</formula1>
    </dataValidation>
    <dataValidation sqref="BN46" showDropDown="0" showInputMessage="0" showErrorMessage="0" allowBlank="1" type="list">
      <formula1>=INDIRECT("WO_"&amp;$BI46)</formula1>
    </dataValidation>
    <dataValidation sqref="BO46" showDropDown="0" showInputMessage="0" showErrorMessage="1" allowBlank="1" errorTitle="Invalid hours" error="Enter 0 or more." type="decimal" operator="greaterThanOrEqual">
      <formula1>0</formula1>
    </dataValidation>
    <dataValidation sqref="BP46" showDropDown="0" showInputMessage="0" showErrorMessage="1" allowBlank="1" errorTitle="Invalid hours" error="Enter 0 or more." type="decimal" operator="greaterThanOrEqual">
      <formula1>0</formula1>
    </dataValidation>
    <dataValidation sqref="BS46" showDropDown="0" showInputMessage="0" showErrorMessage="1" allowBlank="1" errorTitle="Invalid hours" error="Enter 0 or more." type="decimal" operator="greaterThanOrEqual">
      <formula1>0</formula1>
    </dataValidation>
    <dataValidation sqref="BJ47" showDropDown="0" showInputMessage="0" showErrorMessage="0" allowBlank="1" type="list">
      <formula1>=INDIRECT("WO_"&amp;$BI47)</formula1>
    </dataValidation>
    <dataValidation sqref="BK47" showDropDown="0" showInputMessage="0" showErrorMessage="0" allowBlank="1" type="list">
      <formula1>=INDIRECT("WO_"&amp;$BI47)</formula1>
    </dataValidation>
    <dataValidation sqref="BL47" showDropDown="0" showInputMessage="0" showErrorMessage="0" allowBlank="1" type="list">
      <formula1>=INDIRECT("WO_"&amp;$BI47)</formula1>
    </dataValidation>
    <dataValidation sqref="BM47" showDropDown="0" showInputMessage="0" showErrorMessage="0" allowBlank="1" type="list">
      <formula1>=INDIRECT("WO_"&amp;$BI47)</formula1>
    </dataValidation>
    <dataValidation sqref="BN47" showDropDown="0" showInputMessage="0" showErrorMessage="0" allowBlank="1" type="list">
      <formula1>=INDIRECT("WO_"&amp;$BI47)</formula1>
    </dataValidation>
    <dataValidation sqref="BO47" showDropDown="0" showInputMessage="0" showErrorMessage="1" allowBlank="1" errorTitle="Invalid hours" error="Enter 0 or more." type="decimal" operator="greaterThanOrEqual">
      <formula1>0</formula1>
    </dataValidation>
    <dataValidation sqref="BP47" showDropDown="0" showInputMessage="0" showErrorMessage="1" allowBlank="1" errorTitle="Invalid hours" error="Enter 0 or more." type="decimal" operator="greaterThanOrEqual">
      <formula1>0</formula1>
    </dataValidation>
    <dataValidation sqref="BS47" showDropDown="0" showInputMessage="0" showErrorMessage="1" allowBlank="1" errorTitle="Invalid hours" error="Enter 0 or more." type="decimal" operator="greaterThanOrEqual">
      <formula1>0</formula1>
    </dataValidation>
    <dataValidation sqref="BJ48" showDropDown="0" showInputMessage="0" showErrorMessage="0" allowBlank="1" type="list">
      <formula1>=INDIRECT("WO_"&amp;$BI48)</formula1>
    </dataValidation>
    <dataValidation sqref="BK48" showDropDown="0" showInputMessage="0" showErrorMessage="0" allowBlank="1" type="list">
      <formula1>=INDIRECT("WO_"&amp;$BI48)</formula1>
    </dataValidation>
    <dataValidation sqref="BL48" showDropDown="0" showInputMessage="0" showErrorMessage="0" allowBlank="1" type="list">
      <formula1>=INDIRECT("WO_"&amp;$BI48)</formula1>
    </dataValidation>
    <dataValidation sqref="BM48" showDropDown="0" showInputMessage="0" showErrorMessage="0" allowBlank="1" type="list">
      <formula1>=INDIRECT("WO_"&amp;$BI48)</formula1>
    </dataValidation>
    <dataValidation sqref="BN48" showDropDown="0" showInputMessage="0" showErrorMessage="0" allowBlank="1" type="list">
      <formula1>=INDIRECT("WO_"&amp;$BI48)</formula1>
    </dataValidation>
    <dataValidation sqref="BO48" showDropDown="0" showInputMessage="0" showErrorMessage="1" allowBlank="1" errorTitle="Invalid hours" error="Enter 0 or more." type="decimal" operator="greaterThanOrEqual">
      <formula1>0</formula1>
    </dataValidation>
    <dataValidation sqref="BP48" showDropDown="0" showInputMessage="0" showErrorMessage="1" allowBlank="1" errorTitle="Invalid hours" error="Enter 0 or more." type="decimal" operator="greaterThanOrEqual">
      <formula1>0</formula1>
    </dataValidation>
    <dataValidation sqref="BS48" showDropDown="0" showInputMessage="0" showErrorMessage="1" allowBlank="1" errorTitle="Invalid hours" error="Enter 0 or more." type="decimal" operator="greaterThanOrEqual">
      <formula1>0</formula1>
    </dataValidation>
    <dataValidation sqref="BG19:BG48" showDropDown="0" showInputMessage="0" showErrorMessage="0" allowBlank="1" type="list">
      <formula1>=EmpNames</formula1>
    </dataValidation>
    <dataValidation sqref="BH19:BH48" showDropDown="0" showInputMessage="0" showErrorMessage="0" allowBlank="1" type="list">
      <formula1>=TradeNames</formula1>
    </dataValidation>
    <dataValidation sqref="BI19:BI48" showDropDown="0" showInputMessage="0" showErrorMessage="0" allowBlank="1" type="list">
      <formula1>=WONames</formula1>
    </dataValidation>
    <dataValidation sqref="BR19:BR48" showDropDown="0" showInputMessage="0" showErrorMessage="0" allowBlank="1" type="list">
      <formula1>=LocList</formula1>
    </dataValidation>
    <dataValidation sqref="BT19:BT48" showDropDown="0" showInputMessage="0" showErrorMessage="0" allowBlank="1" type="list">
      <formula1>=OffsiteCatList</formula1>
    </dataValidation>
    <dataValidation sqref="BU19:BU48" showDropDown="0" showInputMessage="0" showErrorMessage="0" allowBlank="1" type="list">
      <formula1>=YNList</formula1>
    </dataValidation>
    <dataValidation sqref="BV19:BV48" showDropDown="0" showInputMessage="0" showErrorMessage="0" allowBlank="1" type="list">
      <formula1>=YNList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20" customWidth="1" min="3" max="3"/>
    <col width="22" customWidth="1" min="5" max="5"/>
    <col width="12" customWidth="1" min="6" max="6"/>
    <col width="28" customWidth="1" min="7" max="7"/>
    <col width="34" customWidth="1" min="9" max="9"/>
    <col width="54" customWidth="1" min="11" max="11"/>
    <col width="10" customWidth="1" min="13" max="13"/>
    <col width="15" customWidth="1" min="14" max="14"/>
    <col width="30" customWidth="1" min="15" max="15"/>
    <col width="14" customWidth="1" min="16" max="16"/>
  </cols>
  <sheetData>
    <row r="1" ht="20" customHeight="1">
      <c r="A1" s="4" t="inlineStr">
        <is>
          <t>VENDORS</t>
        </is>
      </c>
      <c r="E1" s="4" t="inlineStr">
        <is>
          <t>EMPLOYEES</t>
        </is>
      </c>
      <c r="I1" s="4" t="inlineStr">
        <is>
          <t>TRADES  (SAP code - name)</t>
        </is>
      </c>
      <c r="K1" s="4" t="inlineStr">
        <is>
          <t>PO / JOB</t>
        </is>
      </c>
      <c r="M1" s="4" t="inlineStr">
        <is>
          <t>PICK LISTS</t>
        </is>
      </c>
    </row>
    <row r="2">
      <c r="A2" s="12" t="inlineStr">
        <is>
          <t>Vendor Name</t>
        </is>
      </c>
      <c r="B2" s="12" t="inlineStr">
        <is>
          <t>Vendor ID</t>
        </is>
      </c>
      <c r="C2" s="12" t="inlineStr">
        <is>
          <t>Vendor (Name - ID)</t>
        </is>
      </c>
      <c r="E2" s="12" t="inlineStr">
        <is>
          <t>Employee Name</t>
        </is>
      </c>
      <c r="F2" s="12" t="inlineStr">
        <is>
          <t>Vendor</t>
        </is>
      </c>
      <c r="G2" s="12" t="inlineStr">
        <is>
          <t>Default Trade</t>
        </is>
      </c>
      <c r="M2" s="12" t="inlineStr">
        <is>
          <t>Shift</t>
        </is>
      </c>
      <c r="N2" s="12" t="inlineStr">
        <is>
          <t>Work Location</t>
        </is>
      </c>
      <c r="O2" s="12" t="inlineStr">
        <is>
          <t>Offsite Category</t>
        </is>
      </c>
      <c r="P2" s="12" t="inlineStr">
        <is>
          <t>OT Meal / LOA</t>
        </is>
      </c>
      <c r="Q2" s="12" t="inlineStr"/>
    </row>
    <row r="3">
      <c r="A3" s="28" t="inlineStr">
        <is>
          <t>Wolverine</t>
        </is>
      </c>
      <c r="B3" s="28" t="inlineStr">
        <is>
          <t>01</t>
        </is>
      </c>
      <c r="C3" s="28" t="inlineStr">
        <is>
          <t>Wolverine - 01</t>
        </is>
      </c>
      <c r="E3" s="28" t="inlineStr">
        <is>
          <t>Alton, Doug</t>
        </is>
      </c>
      <c r="I3" s="28" t="inlineStr">
        <is>
          <t>11101005-PM/Superintendent</t>
        </is>
      </c>
      <c r="K3" s="28" t="inlineStr">
        <is>
          <t>01-25-169 - CF - 2026TA - Pre-TA</t>
        </is>
      </c>
      <c r="M3" s="28" t="inlineStr">
        <is>
          <t>1 - Day</t>
        </is>
      </c>
      <c r="N3" s="28" t="inlineStr">
        <is>
          <t>1 - Shop Floor</t>
        </is>
      </c>
      <c r="O3" s="28" t="inlineStr">
        <is>
          <t>Call In</t>
        </is>
      </c>
      <c r="P3" s="28" t="inlineStr">
        <is>
          <t>Y</t>
        </is>
      </c>
    </row>
    <row r="4">
      <c r="A4" s="28" t="inlineStr">
        <is>
          <t>B&amp;D</t>
        </is>
      </c>
      <c r="B4" s="28" t="inlineStr">
        <is>
          <t>02</t>
        </is>
      </c>
      <c r="C4" s="28" t="inlineStr">
        <is>
          <t>B&amp;D - 02</t>
        </is>
      </c>
      <c r="E4" s="28" t="inlineStr">
        <is>
          <t>Chamberlain, Evan</t>
        </is>
      </c>
      <c r="I4" s="28" t="inlineStr">
        <is>
          <t>12100027-Operating Engineer Journeyman</t>
        </is>
      </c>
      <c r="K4" s="28" t="inlineStr">
        <is>
          <t>01-26-037 - CF - Project Controls Prior to TA</t>
        </is>
      </c>
      <c r="M4" s="28" t="inlineStr">
        <is>
          <t>2 - Night</t>
        </is>
      </c>
      <c r="N4" s="28" t="inlineStr">
        <is>
          <t>2 - Office</t>
        </is>
      </c>
      <c r="O4" s="28" t="inlineStr">
        <is>
          <t>Remote Onboarding</t>
        </is>
      </c>
      <c r="P4" s="28" t="inlineStr">
        <is>
          <t>N</t>
        </is>
      </c>
    </row>
    <row r="5">
      <c r="A5" s="28" t="inlineStr">
        <is>
          <t>Safeway</t>
        </is>
      </c>
      <c r="B5" s="28" t="inlineStr">
        <is>
          <t>03</t>
        </is>
      </c>
      <c r="C5" s="28" t="inlineStr">
        <is>
          <t>Safeway - 03</t>
        </is>
      </c>
      <c r="E5" s="28" t="inlineStr">
        <is>
          <t>Croft, Madison</t>
        </is>
      </c>
      <c r="I5" s="28" t="inlineStr">
        <is>
          <t>12104005-Pipefitter Journeyman</t>
        </is>
      </c>
      <c r="K5" s="28" t="inlineStr">
        <is>
          <t>01-26-038 - CF - Planning Support (01-25-217) - Ray Klassen</t>
        </is>
      </c>
      <c r="N5" s="28" t="inlineStr">
        <is>
          <t>3 - Field</t>
        </is>
      </c>
      <c r="O5" s="28" t="inlineStr">
        <is>
          <t>Remote Work / Offsite Meeting</t>
        </is>
      </c>
    </row>
    <row r="6">
      <c r="E6" s="28" t="inlineStr">
        <is>
          <t>DeCiantis, Lu</t>
        </is>
      </c>
      <c r="I6" s="28" t="inlineStr">
        <is>
          <t>12104009-Construction Coordinator</t>
        </is>
      </c>
      <c r="K6" s="28" t="inlineStr">
        <is>
          <t>01-26-193 - CF - Wolverine Admin TA Support</t>
        </is>
      </c>
      <c r="O6" s="28" t="inlineStr">
        <is>
          <t>Safety - Fit for Duty Checks</t>
        </is>
      </c>
    </row>
    <row r="7">
      <c r="E7" s="28" t="inlineStr">
        <is>
          <t>Jamer, Douglas</t>
        </is>
      </c>
      <c r="I7" s="28" t="inlineStr">
        <is>
          <t>12104010-Pipefitter Welder</t>
        </is>
      </c>
      <c r="K7" s="28" t="inlineStr">
        <is>
          <t>01-26-200 - CF - QA/QC Planner for fall TA</t>
        </is>
      </c>
      <c r="O7" s="28" t="inlineStr">
        <is>
          <t>Safety - Offsite Medical Aid</t>
        </is>
      </c>
    </row>
    <row r="8">
      <c r="E8" s="28" t="inlineStr">
        <is>
          <t>Joshi, Nitin</t>
        </is>
      </c>
      <c r="I8" s="28" t="inlineStr">
        <is>
          <t>12105015-Pipefitter Foreman</t>
        </is>
      </c>
      <c r="K8" s="28" t="inlineStr">
        <is>
          <t>01-26-500 - CF - TA - A2 C110 Blowdown Line - 3 Work Orders Combined</t>
        </is>
      </c>
      <c r="O8" s="28" t="inlineStr">
        <is>
          <t>Safety - Providing Offsite Training</t>
        </is>
      </c>
    </row>
    <row r="9">
      <c r="E9" s="28" t="inlineStr">
        <is>
          <t>Kennedy, Michael</t>
        </is>
      </c>
      <c r="I9" s="28" t="inlineStr">
        <is>
          <t>13100002-E H &amp; S Manager</t>
        </is>
      </c>
      <c r="K9" s="28" t="inlineStr">
        <is>
          <t>01-26-502 - CF - TA-A2-PP-004 C405B RIK Corroded Pipe - 40012593</t>
        </is>
      </c>
      <c r="O9" s="28" t="inlineStr">
        <is>
          <t>Safety - Site Emergency</t>
        </is>
      </c>
    </row>
    <row r="10">
      <c r="E10" s="28" t="inlineStr">
        <is>
          <t>Klassen, Raymond</t>
        </is>
      </c>
      <c r="I10" s="28" t="inlineStr">
        <is>
          <t>13100008-Operating Engineer Foreman</t>
        </is>
      </c>
      <c r="K10" s="28" t="inlineStr">
        <is>
          <t>01-26-503 - CF - TA-A2-PP-003 L301B RIK Corroded Nipple - 40012011</t>
        </is>
      </c>
      <c r="O10" s="28" t="inlineStr">
        <is>
          <t>Shop Fabrication</t>
        </is>
      </c>
    </row>
    <row r="11">
      <c r="E11" s="28" t="inlineStr">
        <is>
          <t>Martindale, Hillary</t>
        </is>
      </c>
      <c r="I11" s="28" t="inlineStr">
        <is>
          <t>13100009-Procurement Specialist</t>
        </is>
      </c>
      <c r="K11" s="28" t="inlineStr">
        <is>
          <t>01-26-504 - CF - TA-A2-PP-005 PSV2901 RIK Corroded Pipe - 40012609</t>
        </is>
      </c>
      <c r="O11" s="28" t="inlineStr">
        <is>
          <t>Shop Visit / Materials Pickup</t>
        </is>
      </c>
    </row>
    <row r="12">
      <c r="E12" s="28" t="inlineStr">
        <is>
          <t>McDonald, Kyle</t>
        </is>
      </c>
      <c r="I12" s="28" t="inlineStr">
        <is>
          <t>13101001-Planner</t>
        </is>
      </c>
      <c r="K12" s="28" t="inlineStr">
        <is>
          <t>01-26-505 - CF - TA-A2-PP-006 RIK SW Pipe in Rack at D301- 40012654</t>
        </is>
      </c>
      <c r="O12" s="28" t="inlineStr">
        <is>
          <t>Show Up Time</t>
        </is>
      </c>
    </row>
    <row r="13">
      <c r="E13" s="28" t="inlineStr">
        <is>
          <t>McGuire, Samantha</t>
        </is>
      </c>
      <c r="I13" s="28" t="inlineStr">
        <is>
          <t>13101002-Scheduler</t>
        </is>
      </c>
      <c r="K13" s="28" t="inlineStr">
        <is>
          <t>01-26-506 - CF - TA-A2-PP-008 8PV1752 RIK Upstream BW Valve - 60009389</t>
        </is>
      </c>
    </row>
    <row r="14">
      <c r="E14" s="28" t="inlineStr">
        <is>
          <t>Moore, Ryan</t>
        </is>
      </c>
      <c r="I14" s="28" t="inlineStr">
        <is>
          <t>13101005-Project Management &amp; Estimating</t>
        </is>
      </c>
      <c r="K14" s="28" t="inlineStr">
        <is>
          <t>01-26-512 - CF - TA-OLLR-A2-PP-021 TV1064 Remove Encl - 60010064</t>
        </is>
      </c>
    </row>
    <row r="15">
      <c r="E15" s="28" t="inlineStr">
        <is>
          <t>Paquette, David</t>
        </is>
      </c>
      <c r="I15" s="28" t="inlineStr">
        <is>
          <t>13106050-Time Keeper</t>
        </is>
      </c>
      <c r="K15" s="28" t="inlineStr">
        <is>
          <t>01-26-513 - TA-OLLR-A2-PP-024 8PV3095 Replace Block Vlv- 60010420</t>
        </is>
      </c>
    </row>
    <row r="16">
      <c r="E16" s="28" t="inlineStr">
        <is>
          <t>Powers, Dave</t>
        </is>
      </c>
      <c r="I16" s="28" t="inlineStr">
        <is>
          <t>13108000-QAQC Advisor</t>
        </is>
      </c>
      <c r="K16" s="28" t="inlineStr">
        <is>
          <t>01-26-514 - CF - TA-OLLR-A2-PP-027 HV1623 Remove Encl - 60010738</t>
        </is>
      </c>
    </row>
    <row r="17">
      <c r="E17" s="28" t="inlineStr">
        <is>
          <t>Schouten, Casey</t>
        </is>
      </c>
      <c r="K17" s="28" t="inlineStr">
        <is>
          <t>01-26-515 - CF - TA-A2-PP-007 LT5347 F501 RIK Corroded Nipple - 40012731</t>
        </is>
      </c>
    </row>
    <row r="18">
      <c r="E18" s="28" t="inlineStr">
        <is>
          <t>Toms, Kevin</t>
        </is>
      </c>
      <c r="K18" s="28" t="inlineStr">
        <is>
          <t>01-26-516 - CF - TA-A2-PP-018 F401 Replace VLVs to F501 - 60009798</t>
        </is>
      </c>
    </row>
    <row r="19">
      <c r="E19" s="28" t="inlineStr">
        <is>
          <t>Valiquette, Mark</t>
        </is>
      </c>
      <c r="K19" s="28" t="inlineStr">
        <is>
          <t>01-26-517 - CF - TA-A2-PP-031 HV1072 Replace Drain Vlvs - 60015209</t>
        </is>
      </c>
    </row>
    <row r="20">
      <c r="E20" s="28" t="inlineStr">
        <is>
          <t>Wiles, Tim</t>
        </is>
      </c>
      <c r="K20" s="28" t="inlineStr">
        <is>
          <t>01-26-518 - CF - TA-OLLR-A2-PP-014 LV5178 Remove Encl - 60009691</t>
        </is>
      </c>
    </row>
    <row r="21">
      <c r="E21" s="28" t="inlineStr">
        <is>
          <t>Wilson, Justin</t>
        </is>
      </c>
      <c r="K21" s="28" t="inlineStr">
        <is>
          <t>01-26-519 - CF - TA-OLLR-A2-PP-016 TV1068 Remove Encl - 60009696</t>
        </is>
      </c>
    </row>
    <row r="22">
      <c r="E22" s="28" t="inlineStr">
        <is>
          <t>Woudenberg, Rick</t>
        </is>
      </c>
      <c r="K22" s="28" t="inlineStr">
        <is>
          <t>01-26-520 - CF - TA-OLLR-A2-PP-022 C115 Remove Enclosure - 60010066</t>
        </is>
      </c>
    </row>
    <row r="23">
      <c r="E23" s="28" t="inlineStr">
        <is>
          <t>Woudenberg, Tanner</t>
        </is>
      </c>
      <c r="K23" s="28" t="inlineStr">
        <is>
          <t>01-26-522 - CF - TA-A2-PP-032 ROB5528 Replace Drain Vlvs - 60015210</t>
        </is>
      </c>
    </row>
    <row r="24">
      <c r="K24" s="28" t="inlineStr">
        <is>
          <t>01-26-523 - CF - TA-OLLR-A2-PP-030 8FV4140 Byps Drain Vlv - 60015207</t>
        </is>
      </c>
    </row>
    <row r="25">
      <c r="K25" s="28" t="inlineStr">
        <is>
          <t>01-26-524 - CF - TA-OLLR-A2-PP-033 L501 Repair Steam Trap - 60015223</t>
        </is>
      </c>
    </row>
    <row r="26">
      <c r="K26" s="28" t="inlineStr">
        <is>
          <t>01-26-525 - CF - TA-A2-PP-034 B102 Repair BFW Pipe - 60015256</t>
        </is>
      </c>
    </row>
    <row r="27">
      <c r="K27" s="28" t="inlineStr">
        <is>
          <t>01-26-526 - CF - TA-A2-PP-040 G404 LGs Install Caps - 60010048</t>
        </is>
      </c>
    </row>
    <row r="28">
      <c r="K28" s="28" t="inlineStr">
        <is>
          <t>01-26-527 - CF - TA-A2-PP-041 D301 Outlet Bleed Valve - 60043511</t>
        </is>
      </c>
    </row>
    <row r="29">
      <c r="K29" s="28" t="inlineStr">
        <is>
          <t>01-26-528 - CF - TA-A2-PP-042 FV4144 Drain Valves - 60043512</t>
        </is>
      </c>
    </row>
    <row r="30">
      <c r="K30" s="28" t="inlineStr">
        <is>
          <t>01-26-529 - CF - TA-OLLR-A2-PP-010 200# Steam Remove Encl - 60009556</t>
        </is>
      </c>
    </row>
    <row r="31">
      <c r="K31" s="28" t="inlineStr">
        <is>
          <t>01-26-530 - CF - TA-OLLR-A2-PP-043 - C501 Perm Piping Repair</t>
        </is>
      </c>
    </row>
    <row r="32">
      <c r="K32" s="28" t="inlineStr">
        <is>
          <t>01-26-531 - CF - TA-A2-PP-036 J101-7AB Replace Equal Vlv - 60010915</t>
        </is>
      </c>
    </row>
    <row r="33">
      <c r="K33" s="28" t="inlineStr">
        <is>
          <t>01-26-532 - CF - TA-A2-PP-044 E24-118 Decommission UG CO2 Line</t>
        </is>
      </c>
    </row>
    <row r="34">
      <c r="K34" s="28" t="inlineStr">
        <is>
          <t>01-26-533 - CF - TA-A2-PP-045 E24-213 J101 Eliminate Low Point - 20000606</t>
        </is>
      </c>
    </row>
    <row r="35">
      <c r="K35" s="28" t="inlineStr">
        <is>
          <t>01-26-800 - CF - TA-UR-PP-004 E121 Replace Drain Valve - 60009998</t>
        </is>
      </c>
    </row>
    <row r="36">
      <c r="K36" s="28" t="inlineStr">
        <is>
          <t>01-26-803 - CF - TA-UR-PP-005 P117B Xmas Tree Drain Vlv - 60010150</t>
        </is>
      </c>
    </row>
    <row r="37">
      <c r="K37" s="28" t="inlineStr">
        <is>
          <t>01-26-805 - CF - TA-TMOC-UR-PP-012 4PCV895 Outlet PI - 20000745</t>
        </is>
      </c>
    </row>
    <row r="38">
      <c r="K38" s="28" t="inlineStr">
        <is>
          <t>01-26-808 - CA - TA-UR-PP-020 4LV4421 LPD Steam Valve - 60043519</t>
        </is>
      </c>
    </row>
    <row r="39">
      <c r="K39" s="28" t="inlineStr">
        <is>
          <t>01-26-809 - CA - TA-UR-PP-021 4LV4441 Steam Out Valve - 60043540</t>
        </is>
      </c>
    </row>
    <row r="40"/>
    <row r="41"/>
  </sheetData>
  <mergeCells count="5">
    <mergeCell ref="I1"/>
    <mergeCell ref="A1:C1"/>
    <mergeCell ref="K1"/>
    <mergeCell ref="M1:Q1"/>
    <mergeCell ref="E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 ht="20" customHeight="1">
      <c r="A1" s="4" t="inlineStr">
        <is>
          <t>WORK ORDERS  (WO ID -&gt; Name)</t>
        </is>
      </c>
    </row>
    <row r="2">
      <c r="A2" s="12" t="inlineStr">
        <is>
          <t>WO ID</t>
        </is>
      </c>
      <c r="B2" s="12" t="inlineStr">
        <is>
          <t>WO Name</t>
        </is>
      </c>
    </row>
    <row r="3">
      <c r="A3" s="28" t="inlineStr">
        <is>
          <t>20000563</t>
        </is>
      </c>
      <c r="B3" s="28" t="inlineStr">
        <is>
          <t>TA-UR-PP-023 E24-120 E104-105 Steam Cond</t>
        </is>
      </c>
    </row>
    <row r="4">
      <c r="A4" s="28" t="inlineStr">
        <is>
          <t>40011104</t>
        </is>
      </c>
      <c r="B4" s="28" t="inlineStr">
        <is>
          <t>TA-4TV4522-Overhaul</t>
        </is>
      </c>
    </row>
    <row r="5">
      <c r="A5" s="28" t="inlineStr">
        <is>
          <t>40011112</t>
        </is>
      </c>
      <c r="B5" s="28" t="inlineStr">
        <is>
          <t>TA-4XV4527-Overhaul</t>
        </is>
      </c>
    </row>
    <row r="6">
      <c r="A6" s="28" t="inlineStr">
        <is>
          <t>40011116</t>
        </is>
      </c>
      <c r="B6" s="28" t="inlineStr">
        <is>
          <t>TA-4XV4556-Overhaul</t>
        </is>
      </c>
    </row>
    <row r="7">
      <c r="A7" s="28" t="inlineStr">
        <is>
          <t>40011117</t>
        </is>
      </c>
      <c r="B7" s="28" t="inlineStr">
        <is>
          <t>TA-4XV4558-Overhaul</t>
        </is>
      </c>
    </row>
    <row r="8">
      <c r="A8" s="28" t="inlineStr">
        <is>
          <t>40011123</t>
        </is>
      </c>
      <c r="B8" s="28" t="inlineStr">
        <is>
          <t>TA-4XV4585-Overhaul</t>
        </is>
      </c>
    </row>
    <row r="9">
      <c r="A9" s="28" t="inlineStr">
        <is>
          <t>40011128</t>
        </is>
      </c>
      <c r="B9" s="28" t="inlineStr">
        <is>
          <t>TA-4PV4462-Overhaul</t>
        </is>
      </c>
    </row>
    <row r="10">
      <c r="A10" s="28" t="inlineStr">
        <is>
          <t>40011133</t>
        </is>
      </c>
      <c r="B10" s="28" t="inlineStr">
        <is>
          <t>TA-4PV5440-Overhaul</t>
        </is>
      </c>
    </row>
    <row r="11">
      <c r="A11" s="28" t="inlineStr">
        <is>
          <t>40011136</t>
        </is>
      </c>
      <c r="B11" s="28" t="inlineStr">
        <is>
          <t>TA-4HV5462-Overhaul</t>
        </is>
      </c>
    </row>
    <row r="12">
      <c r="A12" s="28" t="inlineStr">
        <is>
          <t>40011137</t>
        </is>
      </c>
      <c r="B12" s="28" t="inlineStr">
        <is>
          <t>TA-4PV5520-Overhaul</t>
        </is>
      </c>
    </row>
    <row r="13">
      <c r="A13" s="28" t="inlineStr">
        <is>
          <t>40011141</t>
        </is>
      </c>
      <c r="B13" s="28" t="inlineStr">
        <is>
          <t>TA-4PV5521-Overhaul</t>
        </is>
      </c>
    </row>
    <row r="14">
      <c r="A14" s="28" t="inlineStr">
        <is>
          <t>40011143</t>
        </is>
      </c>
      <c r="B14" s="28" t="inlineStr">
        <is>
          <t>TA-4HV5624-Overhaul</t>
        </is>
      </c>
    </row>
    <row r="15">
      <c r="A15" s="28" t="inlineStr">
        <is>
          <t>40011148</t>
        </is>
      </c>
      <c r="B15" s="28" t="inlineStr">
        <is>
          <t>TA 2026 Site Electrical Utilities PM</t>
        </is>
      </c>
    </row>
    <row r="16">
      <c r="A16" s="28" t="inlineStr">
        <is>
          <t>40011180</t>
        </is>
      </c>
      <c r="B16" s="28" t="inlineStr">
        <is>
          <t>TA–2PSV2838–Overhaul</t>
        </is>
      </c>
    </row>
    <row r="17">
      <c r="A17" s="28" t="inlineStr">
        <is>
          <t>40011187</t>
        </is>
      </c>
      <c r="B17" s="28" t="inlineStr">
        <is>
          <t>TA–8PSV1753–Overhaul</t>
        </is>
      </c>
    </row>
    <row r="18">
      <c r="A18" s="28" t="inlineStr">
        <is>
          <t>40011193</t>
        </is>
      </c>
      <c r="B18" s="28" t="inlineStr">
        <is>
          <t>TA–8PSV1901–Overhaul</t>
        </is>
      </c>
    </row>
    <row r="19">
      <c r="A19" s="28" t="inlineStr">
        <is>
          <t>40011195</t>
        </is>
      </c>
      <c r="B19" s="28" t="inlineStr">
        <is>
          <t>TA–8PSV1902–Overhaul</t>
        </is>
      </c>
    </row>
    <row r="20">
      <c r="A20" s="28" t="inlineStr">
        <is>
          <t>40011204</t>
        </is>
      </c>
      <c r="B20" s="28" t="inlineStr">
        <is>
          <t>TA–2PSV2438–Overhaul</t>
        </is>
      </c>
    </row>
    <row r="21">
      <c r="A21" s="28" t="inlineStr">
        <is>
          <t>40011212</t>
        </is>
      </c>
      <c r="B21" s="28" t="inlineStr">
        <is>
          <t>TA–2PSV2417–Overhaul</t>
        </is>
      </c>
    </row>
    <row r="22">
      <c r="A22" s="28" t="inlineStr">
        <is>
          <t>40011214</t>
        </is>
      </c>
      <c r="B22" s="28" t="inlineStr">
        <is>
          <t>TA–2PSV2416–Overhaul</t>
        </is>
      </c>
    </row>
    <row r="23">
      <c r="A23" s="28" t="inlineStr">
        <is>
          <t>40011221</t>
        </is>
      </c>
      <c r="B23" s="28" t="inlineStr">
        <is>
          <t>TA–4PSV90–Overhaul</t>
        </is>
      </c>
    </row>
    <row r="24">
      <c r="A24" s="28" t="inlineStr">
        <is>
          <t>40011275</t>
        </is>
      </c>
      <c r="B24" s="28" t="inlineStr">
        <is>
          <t>TA-F703-Inspection-Repair</t>
        </is>
      </c>
    </row>
    <row r="25">
      <c r="A25" s="28" t="inlineStr">
        <is>
          <t>40011340</t>
        </is>
      </c>
      <c r="B25" s="28" t="inlineStr">
        <is>
          <t>TA-F620-Inspection-Regulatory</t>
        </is>
      </c>
    </row>
    <row r="26">
      <c r="A26" s="28" t="inlineStr">
        <is>
          <t>40011687</t>
        </is>
      </c>
      <c r="B26" s="28" t="inlineStr">
        <is>
          <t>TA-D120U-Inspection-Regulatory</t>
        </is>
      </c>
    </row>
    <row r="27">
      <c r="A27" s="28" t="inlineStr">
        <is>
          <t>40011725</t>
        </is>
      </c>
      <c r="B27" s="28" t="inlineStr">
        <is>
          <t>TA-D301U-Inspection-Regulatory</t>
        </is>
      </c>
    </row>
    <row r="28">
      <c r="A28" s="28" t="inlineStr">
        <is>
          <t>40012304</t>
        </is>
      </c>
      <c r="B28" s="28" t="inlineStr">
        <is>
          <t>TA-G101-Inspection-Regulatory</t>
        </is>
      </c>
    </row>
    <row r="29">
      <c r="A29" s="28" t="inlineStr">
        <is>
          <t>40012416</t>
        </is>
      </c>
      <c r="B29" s="28" t="inlineStr">
        <is>
          <t>TA-C104-Inspection-Clean-Regulatory</t>
        </is>
      </c>
    </row>
    <row r="30">
      <c r="A30" s="28" t="inlineStr">
        <is>
          <t>40012452</t>
        </is>
      </c>
      <c r="B30" s="28" t="inlineStr">
        <is>
          <t>TA-C201-Insp-Clean-Regulatory</t>
        </is>
      </c>
    </row>
    <row r="31">
      <c r="A31" s="28" t="inlineStr">
        <is>
          <t>40012698</t>
        </is>
      </c>
      <c r="B31" s="28" t="inlineStr">
        <is>
          <t>TA-D103-Inspection-Catalyst-Regulatory</t>
        </is>
      </c>
    </row>
    <row r="32">
      <c r="A32" s="28" t="inlineStr">
        <is>
          <t>40012709</t>
        </is>
      </c>
      <c r="B32" s="28" t="inlineStr">
        <is>
          <t>TA-F101-Inspection-Regulatory</t>
        </is>
      </c>
    </row>
    <row r="33">
      <c r="A33" s="28" t="inlineStr">
        <is>
          <t>40012745</t>
        </is>
      </c>
      <c r="B33" s="28" t="inlineStr">
        <is>
          <t>TA-JT101-Major</t>
        </is>
      </c>
    </row>
    <row r="34">
      <c r="A34" s="28" t="inlineStr">
        <is>
          <t>40012841</t>
        </is>
      </c>
      <c r="B34" s="28" t="inlineStr">
        <is>
          <t>TA-12G406B-Inspection Non-jurisdictional</t>
        </is>
      </c>
    </row>
    <row r="35">
      <c r="A35" s="28" t="inlineStr">
        <is>
          <t>40012858</t>
        </is>
      </c>
      <c r="B35" s="28" t="inlineStr">
        <is>
          <t>TA -C601-Inspection-Clean-Regulatory</t>
        </is>
      </c>
    </row>
    <row r="36">
      <c r="A36" s="28" t="inlineStr">
        <is>
          <t>60009672</t>
        </is>
      </c>
      <c r="B36" s="28" t="inlineStr">
        <is>
          <t>TA-A2-PP-048 2BFW1085 Adjust Pipe</t>
        </is>
      </c>
    </row>
    <row r="37">
      <c r="A37" s="28" t="inlineStr">
        <is>
          <t>60009689</t>
        </is>
      </c>
      <c r="B37" s="28" t="inlineStr">
        <is>
          <t>TA-OLLR-A2-VLV-016 XV5232 Remove Encl</t>
        </is>
      </c>
    </row>
    <row r="38">
      <c r="A38" s="28" t="inlineStr">
        <is>
          <t>60009975</t>
        </is>
      </c>
      <c r="B38" s="28" t="inlineStr">
        <is>
          <t>TA-UR-PP-014 T101 Underground CW Pipe</t>
        </is>
      </c>
    </row>
    <row r="39">
      <c r="A39" s="28" t="inlineStr">
        <is>
          <t>60010151</t>
        </is>
      </c>
      <c r="B39" s="28" t="inlineStr">
        <is>
          <t>TA-UR-PP-006 C1 O2 Analyzer Remove Pipe</t>
        </is>
      </c>
    </row>
    <row r="40">
      <c r="A40" s="28" t="inlineStr">
        <is>
          <t>60010684</t>
        </is>
      </c>
      <c r="B40" s="28" t="inlineStr">
        <is>
          <t>TA-UR-PP-018 D30 Overflow Pipe Leak</t>
        </is>
      </c>
    </row>
    <row r="41">
      <c r="A41" s="28" t="inlineStr">
        <is>
          <t>60010769</t>
        </is>
      </c>
      <c r="B41" s="28" t="inlineStr">
        <is>
          <t>TA-UR-VLV-013 E105 Replace Condensate Vl</t>
        </is>
      </c>
    </row>
    <row r="42">
      <c r="A42" s="28" t="inlineStr">
        <is>
          <t>60015208</t>
        </is>
      </c>
      <c r="B42" s="28" t="inlineStr">
        <is>
          <t>TA-D102-Open for Catalyst Change- Inspec</t>
        </is>
      </c>
    </row>
    <row r="43">
      <c r="A43" s="28" t="inlineStr">
        <is>
          <t>60041037</t>
        </is>
      </c>
      <c r="B43" s="28" t="inlineStr">
        <is>
          <t>TA-A2-PP-025 C110 Replace Blowdown Line</t>
        </is>
      </c>
    </row>
    <row r="44">
      <c r="A44" s="28" t="inlineStr">
        <is>
          <t>60043945</t>
        </is>
      </c>
      <c r="B44" s="28" t="inlineStr">
        <is>
          <t>TA 2026 - AM Overhead (Scaffold)</t>
        </is>
      </c>
    </row>
    <row r="45">
      <c r="A45" s="28" t="inlineStr">
        <is>
          <t>60043985</t>
        </is>
      </c>
      <c r="B45" s="28" t="inlineStr">
        <is>
          <t>TA 2026 - UR Overhead (Scaffold)</t>
        </is>
      </c>
    </row>
    <row r="46">
      <c r="A46" s="28" t="inlineStr">
        <is>
          <t>60043993</t>
        </is>
      </c>
      <c r="B46" s="28" t="inlineStr">
        <is>
          <t>TA 2026 - NA Overhead (Scaffold)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15"/>
  <sheetViews>
    <sheetView showGridLines="0" workbookViewId="0">
      <selection activeCell="A1" sqref="A1"/>
    </sheetView>
  </sheetViews>
  <sheetFormatPr baseColWidth="8" defaultRowHeight="15"/>
  <sheetData>
    <row r="1">
      <c r="A1" s="29" t="inlineStr">
        <is>
          <t>20000563</t>
        </is>
      </c>
      <c r="B1" s="29" t="inlineStr">
        <is>
          <t>40011104</t>
        </is>
      </c>
      <c r="C1" s="29" t="inlineStr">
        <is>
          <t>40011112</t>
        </is>
      </c>
      <c r="D1" s="29" t="inlineStr">
        <is>
          <t>40011116</t>
        </is>
      </c>
      <c r="E1" s="29" t="inlineStr">
        <is>
          <t>40011117</t>
        </is>
      </c>
      <c r="F1" s="29" t="inlineStr">
        <is>
          <t>40011123</t>
        </is>
      </c>
      <c r="G1" s="29" t="inlineStr">
        <is>
          <t>40011128</t>
        </is>
      </c>
      <c r="H1" s="29" t="inlineStr">
        <is>
          <t>40011133</t>
        </is>
      </c>
      <c r="I1" s="29" t="inlineStr">
        <is>
          <t>40011136</t>
        </is>
      </c>
      <c r="J1" s="29" t="inlineStr">
        <is>
          <t>40011137</t>
        </is>
      </c>
      <c r="K1" s="29" t="inlineStr">
        <is>
          <t>40011141</t>
        </is>
      </c>
      <c r="L1" s="29" t="inlineStr">
        <is>
          <t>40011143</t>
        </is>
      </c>
      <c r="M1" s="29" t="inlineStr">
        <is>
          <t>40011148</t>
        </is>
      </c>
      <c r="N1" s="29" t="inlineStr">
        <is>
          <t>40011180</t>
        </is>
      </c>
      <c r="O1" s="29" t="inlineStr">
        <is>
          <t>40011187</t>
        </is>
      </c>
      <c r="P1" s="29" t="inlineStr">
        <is>
          <t>40011193</t>
        </is>
      </c>
      <c r="Q1" s="29" t="inlineStr">
        <is>
          <t>40011195</t>
        </is>
      </c>
      <c r="R1" s="29" t="inlineStr">
        <is>
          <t>40011204</t>
        </is>
      </c>
      <c r="S1" s="29" t="inlineStr">
        <is>
          <t>40011212</t>
        </is>
      </c>
      <c r="T1" s="29" t="inlineStr">
        <is>
          <t>40011214</t>
        </is>
      </c>
      <c r="U1" s="29" t="inlineStr">
        <is>
          <t>40011221</t>
        </is>
      </c>
      <c r="V1" s="29" t="inlineStr">
        <is>
          <t>40011275</t>
        </is>
      </c>
      <c r="W1" s="29" t="inlineStr">
        <is>
          <t>40011340</t>
        </is>
      </c>
      <c r="X1" s="29" t="inlineStr">
        <is>
          <t>40011687</t>
        </is>
      </c>
      <c r="Y1" s="29" t="inlineStr">
        <is>
          <t>40011725</t>
        </is>
      </c>
      <c r="Z1" s="29" t="inlineStr">
        <is>
          <t>40012304</t>
        </is>
      </c>
      <c r="AA1" s="29" t="inlineStr">
        <is>
          <t>40012416</t>
        </is>
      </c>
      <c r="AB1" s="29" t="inlineStr">
        <is>
          <t>40012452</t>
        </is>
      </c>
      <c r="AC1" s="29" t="inlineStr">
        <is>
          <t>40012698</t>
        </is>
      </c>
      <c r="AD1" s="29" t="inlineStr">
        <is>
          <t>40012709</t>
        </is>
      </c>
      <c r="AE1" s="29" t="inlineStr">
        <is>
          <t>40012745</t>
        </is>
      </c>
      <c r="AF1" s="29" t="inlineStr">
        <is>
          <t>40012841</t>
        </is>
      </c>
      <c r="AG1" s="29" t="inlineStr">
        <is>
          <t>40012858</t>
        </is>
      </c>
      <c r="AH1" s="29" t="inlineStr">
        <is>
          <t>60009672</t>
        </is>
      </c>
      <c r="AI1" s="29" t="inlineStr">
        <is>
          <t>60009689</t>
        </is>
      </c>
      <c r="AJ1" s="29" t="inlineStr">
        <is>
          <t>60009975</t>
        </is>
      </c>
      <c r="AK1" s="29" t="inlineStr">
        <is>
          <t>60010151</t>
        </is>
      </c>
      <c r="AL1" s="29" t="inlineStr">
        <is>
          <t>60010684</t>
        </is>
      </c>
      <c r="AM1" s="29" t="inlineStr">
        <is>
          <t>60010769</t>
        </is>
      </c>
      <c r="AN1" s="29" t="inlineStr">
        <is>
          <t>60015208</t>
        </is>
      </c>
      <c r="AO1" s="29" t="inlineStr">
        <is>
          <t>60041037</t>
        </is>
      </c>
      <c r="AP1" s="29" t="inlineStr">
        <is>
          <t>60043945</t>
        </is>
      </c>
      <c r="AQ1" s="29" t="inlineStr">
        <is>
          <t>60043985</t>
        </is>
      </c>
      <c r="AR1" s="29" t="inlineStr">
        <is>
          <t>60043993</t>
        </is>
      </c>
    </row>
    <row r="2">
      <c r="A2" t="inlineStr">
        <is>
          <t>0080</t>
        </is>
      </c>
      <c r="B2" t="inlineStr">
        <is>
          <t>0100</t>
        </is>
      </c>
      <c r="C2" t="inlineStr">
        <is>
          <t>0100</t>
        </is>
      </c>
      <c r="D2" t="inlineStr">
        <is>
          <t>0100</t>
        </is>
      </c>
      <c r="E2" t="inlineStr">
        <is>
          <t>0100</t>
        </is>
      </c>
      <c r="F2" t="inlineStr">
        <is>
          <t>0100</t>
        </is>
      </c>
      <c r="G2" t="inlineStr">
        <is>
          <t>0100</t>
        </is>
      </c>
      <c r="H2" t="inlineStr">
        <is>
          <t>0100</t>
        </is>
      </c>
      <c r="I2" t="inlineStr">
        <is>
          <t>0100</t>
        </is>
      </c>
      <c r="J2" t="inlineStr">
        <is>
          <t>0100</t>
        </is>
      </c>
      <c r="K2" t="inlineStr">
        <is>
          <t>0100</t>
        </is>
      </c>
      <c r="L2" t="inlineStr">
        <is>
          <t>0090</t>
        </is>
      </c>
      <c r="M2" t="inlineStr">
        <is>
          <t>0392</t>
        </is>
      </c>
      <c r="N2" t="inlineStr">
        <is>
          <t>0100</t>
        </is>
      </c>
      <c r="O2" t="inlineStr">
        <is>
          <t>0100</t>
        </is>
      </c>
      <c r="P2" t="inlineStr">
        <is>
          <t>0090</t>
        </is>
      </c>
      <c r="Q2" t="inlineStr">
        <is>
          <t>0090</t>
        </is>
      </c>
      <c r="R2" t="inlineStr">
        <is>
          <t>0100</t>
        </is>
      </c>
      <c r="S2" t="inlineStr">
        <is>
          <t>0100</t>
        </is>
      </c>
      <c r="T2" t="inlineStr">
        <is>
          <t>0100</t>
        </is>
      </c>
      <c r="U2" t="inlineStr">
        <is>
          <t>0100</t>
        </is>
      </c>
      <c r="V2" t="inlineStr">
        <is>
          <t>0131</t>
        </is>
      </c>
      <c r="W2" t="inlineStr">
        <is>
          <t>0260</t>
        </is>
      </c>
      <c r="X2" t="inlineStr">
        <is>
          <t>0030</t>
        </is>
      </c>
      <c r="Y2" t="inlineStr">
        <is>
          <t>0890</t>
        </is>
      </c>
      <c r="Z2" t="inlineStr">
        <is>
          <t>0270</t>
        </is>
      </c>
      <c r="AA2" t="inlineStr">
        <is>
          <t>0700</t>
        </is>
      </c>
      <c r="AB2" t="inlineStr">
        <is>
          <t>0480</t>
        </is>
      </c>
      <c r="AC2" t="inlineStr">
        <is>
          <t>0280</t>
        </is>
      </c>
      <c r="AD2" t="inlineStr">
        <is>
          <t>0020</t>
        </is>
      </c>
      <c r="AE2" t="inlineStr">
        <is>
          <t>1420</t>
        </is>
      </c>
      <c r="AF2" t="inlineStr">
        <is>
          <t>0430</t>
        </is>
      </c>
      <c r="AG2" t="inlineStr">
        <is>
          <t>0710</t>
        </is>
      </c>
      <c r="AH2" t="inlineStr">
        <is>
          <t>0010</t>
        </is>
      </c>
      <c r="AI2" t="inlineStr">
        <is>
          <t>0010</t>
        </is>
      </c>
      <c r="AJ2" t="inlineStr">
        <is>
          <t>0020</t>
        </is>
      </c>
      <c r="AK2" t="inlineStr">
        <is>
          <t>0010</t>
        </is>
      </c>
      <c r="AL2" t="inlineStr">
        <is>
          <t>0020</t>
        </is>
      </c>
      <c r="AM2" t="inlineStr">
        <is>
          <t>0010</t>
        </is>
      </c>
      <c r="AN2" t="inlineStr">
        <is>
          <t>0300</t>
        </is>
      </c>
      <c r="AO2" t="inlineStr">
        <is>
          <t>0010</t>
        </is>
      </c>
      <c r="AP2" t="inlineStr">
        <is>
          <t>0020</t>
        </is>
      </c>
      <c r="AQ2" t="inlineStr">
        <is>
          <t>0020</t>
        </is>
      </c>
      <c r="AR2" t="inlineStr">
        <is>
          <t>0020</t>
        </is>
      </c>
    </row>
    <row r="3">
      <c r="A3" t="inlineStr">
        <is>
          <t>0090</t>
        </is>
      </c>
      <c r="M3" t="inlineStr">
        <is>
          <t>0395</t>
        </is>
      </c>
      <c r="X3" t="inlineStr">
        <is>
          <t>0350</t>
        </is>
      </c>
      <c r="Z3" t="inlineStr">
        <is>
          <t>0340</t>
        </is>
      </c>
      <c r="AB3" t="inlineStr">
        <is>
          <t>0490</t>
        </is>
      </c>
      <c r="AF3" t="inlineStr">
        <is>
          <t>0440</t>
        </is>
      </c>
      <c r="AH3" t="inlineStr">
        <is>
          <t>0050</t>
        </is>
      </c>
      <c r="AP3" t="inlineStr">
        <is>
          <t>0030</t>
        </is>
      </c>
      <c r="AQ3" t="inlineStr">
        <is>
          <t>0030</t>
        </is>
      </c>
      <c r="AR3" t="inlineStr">
        <is>
          <t>0030</t>
        </is>
      </c>
    </row>
    <row r="4">
      <c r="A4" t="inlineStr">
        <is>
          <t>0140</t>
        </is>
      </c>
      <c r="M4" t="inlineStr">
        <is>
          <t>0396</t>
        </is>
      </c>
      <c r="AF4" t="inlineStr">
        <is>
          <t>0450</t>
        </is>
      </c>
      <c r="AP4" t="inlineStr">
        <is>
          <t>0050</t>
        </is>
      </c>
      <c r="AQ4" t="inlineStr">
        <is>
          <t>0080</t>
        </is>
      </c>
      <c r="AR4" t="inlineStr">
        <is>
          <t>0080</t>
        </is>
      </c>
    </row>
    <row r="5">
      <c r="M5" t="inlineStr">
        <is>
          <t>0397</t>
        </is>
      </c>
      <c r="AF5" t="inlineStr">
        <is>
          <t>0460</t>
        </is>
      </c>
      <c r="AP5" t="inlineStr">
        <is>
          <t>0080</t>
        </is>
      </c>
      <c r="AQ5" t="inlineStr">
        <is>
          <t>0090</t>
        </is>
      </c>
      <c r="AR5" t="inlineStr">
        <is>
          <t>0090</t>
        </is>
      </c>
    </row>
    <row r="6">
      <c r="M6" t="inlineStr">
        <is>
          <t>0398</t>
        </is>
      </c>
      <c r="AP6" t="inlineStr">
        <is>
          <t>0090</t>
        </is>
      </c>
      <c r="AQ6" t="inlineStr">
        <is>
          <t>0100</t>
        </is>
      </c>
      <c r="AR6" t="inlineStr">
        <is>
          <t>0100</t>
        </is>
      </c>
    </row>
    <row r="7">
      <c r="M7" t="inlineStr">
        <is>
          <t>0399</t>
        </is>
      </c>
      <c r="AP7" t="inlineStr">
        <is>
          <t>0100</t>
        </is>
      </c>
      <c r="AQ7" t="inlineStr">
        <is>
          <t>0110</t>
        </is>
      </c>
      <c r="AR7" t="inlineStr">
        <is>
          <t>0110</t>
        </is>
      </c>
    </row>
    <row r="8">
      <c r="M8" t="inlineStr">
        <is>
          <t>0400</t>
        </is>
      </c>
      <c r="AP8" t="inlineStr">
        <is>
          <t>0110</t>
        </is>
      </c>
      <c r="AQ8" t="inlineStr">
        <is>
          <t>0120</t>
        </is>
      </c>
      <c r="AR8" t="inlineStr">
        <is>
          <t>0120</t>
        </is>
      </c>
    </row>
    <row r="9">
      <c r="M9" t="inlineStr">
        <is>
          <t>0401</t>
        </is>
      </c>
      <c r="AP9" t="inlineStr">
        <is>
          <t>0120</t>
        </is>
      </c>
    </row>
    <row r="10">
      <c r="M10" t="inlineStr">
        <is>
          <t>0402</t>
        </is>
      </c>
    </row>
    <row r="11">
      <c r="M11" t="inlineStr">
        <is>
          <t>0403</t>
        </is>
      </c>
    </row>
    <row r="12">
      <c r="M12" t="inlineStr">
        <is>
          <t>0405</t>
        </is>
      </c>
    </row>
    <row r="13">
      <c r="M13" t="inlineStr">
        <is>
          <t>0406</t>
        </is>
      </c>
    </row>
    <row r="14">
      <c r="M14" t="inlineStr">
        <is>
          <t>0620</t>
        </is>
      </c>
    </row>
    <row r="15">
      <c r="M15" t="inlineStr">
        <is>
          <t>0630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30" t="inlineStr">
        <is>
          <t>CF Turnaround Timesheet — FAQ</t>
        </is>
      </c>
    </row>
    <row r="3" ht="20" customHeight="1">
      <c r="B3" s="31" t="inlineStr">
        <is>
          <t>Layout</t>
        </is>
      </c>
    </row>
    <row r="4" ht="30" customHeight="1">
      <c r="B4" s="32" t="inlineStr">
        <is>
          <t>• Header + SUMMARY are frozen on top. PO tables run LEFT-TO-RIGHT — scroll right for the next PO.</t>
        </is>
      </c>
    </row>
    <row r="5" ht="30" customHeight="1">
      <c r="B5" s="32" t="inlineStr">
        <is>
          <t>• Each PO table holds 30 lines. Collapse a whole PO table with the − button above it; the Summary still shows its totals.</t>
        </is>
      </c>
    </row>
    <row r="6" ht="15" customHeight="1">
      <c r="B6" s="32" t="inlineStr">
        <is>
          <t>• Set the PO once (the 'PO ▸' cell) at the top of each table, then list the people below.</t>
        </is>
      </c>
    </row>
    <row r="8" ht="20" customHeight="1">
      <c r="B8" s="31" t="inlineStr">
        <is>
          <t>A time line</t>
        </is>
      </c>
    </row>
    <row r="9" ht="30" customHeight="1">
      <c r="B9" s="32" t="inlineStr">
        <is>
          <t>• Employee, Trade, WO ID, then OP1..OP5 — pick the WO first, and each OP dropdown shows only that WO's op steps.</t>
        </is>
      </c>
    </row>
    <row r="10" ht="30" customHeight="1">
      <c r="B10" s="32" t="inlineStr">
        <is>
          <t>• Enter RT + DT (Total auto-adds). Add Work Location, Offsite Hrs and the Offsite Category (dropdown).</t>
        </is>
      </c>
    </row>
    <row r="11" ht="30" customHeight="1">
      <c r="B11" s="32" t="inlineStr">
        <is>
          <t>• OT Meal? and LOA? are Y/N eligibility flags. WO name shows as faint reference to the right (not submitted).</t>
        </is>
      </c>
    </row>
    <row r="13" ht="20" customHeight="1">
      <c r="B13" s="31" t="inlineStr">
        <is>
          <t>Submitting</t>
        </is>
      </c>
    </row>
    <row r="14" ht="15" customHeight="1">
      <c r="B14" s="32" t="inlineStr">
        <is>
          <t>• When the PO tables are filled, glance at the SUMMARY (hours by PO + grand total) and submit.</t>
        </is>
      </c>
    </row>
    <row r="15" ht="30" customHeight="1">
      <c r="B15" s="32" t="inlineStr">
        <is>
          <t>• Red cell = value not in the reference lists. Add vendors/employees/trades/POs/WOs on the Reference &amp; Work Orders tabs.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2026-07-22T22:45:14Z</dcterms:created>
  <dcterms:modified xsi:type="dcterms:W3CDTF">2026-07-22T22:45:14Z</dcterms:modified>
</cp:coreProperties>
</file>